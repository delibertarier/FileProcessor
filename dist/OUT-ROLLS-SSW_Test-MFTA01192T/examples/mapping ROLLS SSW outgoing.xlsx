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mcallant/FileProcessor/examples/"/>
    </mc:Choice>
  </mc:AlternateContent>
  <xr:revisionPtr revIDLastSave="0" documentId="13_ncr:1_{D1D59465-1C54-DC44-A976-F402E1B8352A}" xr6:coauthVersionLast="47" xr6:coauthVersionMax="47" xr10:uidLastSave="{00000000-0000-0000-0000-000000000000}"/>
  <bookViews>
    <workbookView xWindow="-60160" yWindow="0" windowWidth="60160" windowHeight="33840" activeTab="7" xr2:uid="{F5622C39-BDEB-4266-9322-5FC9E204C153}"/>
  </bookViews>
  <sheets>
    <sheet name="CSV to XML" sheetId="1" r:id="rId1"/>
    <sheet name="ARC response 801" sheetId="2" r:id="rId2"/>
    <sheet name="Binnenkomende Arrival  EAD 801" sheetId="3" r:id="rId3"/>
    <sheet name="Cancel IE810" sheetId="4" r:id="rId4"/>
    <sheet name="Error IE704" sheetId="5" r:id="rId5"/>
    <sheet name="IE815" sheetId="7" r:id="rId6"/>
    <sheet name="Error IE917" sheetId="6" r:id="rId7"/>
    <sheet name="SSW return message" sheetId="9" r:id="rId8"/>
    <sheet name="Opmerkingen" sheetId="8" r:id="rId9"/>
  </sheets>
  <definedNames>
    <definedName name="XPath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3" l="1"/>
  <c r="A10" i="3" s="1"/>
  <c r="A11" i="3" s="1"/>
  <c r="A12" i="3" s="1"/>
  <c r="A13" i="3" s="1"/>
  <c r="A14" i="3" s="1"/>
  <c r="A15" i="3" s="1"/>
  <c r="A16" i="3" s="1"/>
  <c r="A8" i="3"/>
  <c r="A118" i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87" i="1" s="1"/>
  <c r="A89" i="1" s="1"/>
  <c r="A90" i="1" s="1"/>
  <c r="A91" i="1" s="1"/>
  <c r="A92" i="1" s="1"/>
  <c r="A93" i="1" s="1"/>
  <c r="A94" i="1" s="1"/>
  <c r="A98" i="1" s="1"/>
  <c r="A99" i="1" s="1"/>
  <c r="A100" i="1" s="1"/>
  <c r="A102" i="1" s="1"/>
  <c r="A103" i="1" s="1"/>
  <c r="A105" i="1" s="1"/>
  <c r="A106" i="1" s="1"/>
  <c r="A107" i="1" s="1"/>
  <c r="A108" i="1" s="1"/>
  <c r="A109" i="1" s="1"/>
  <c r="A110" i="1" s="1"/>
  <c r="A111" i="1" s="1"/>
  <c r="A112" i="1" s="1"/>
  <c r="A121" i="1" s="1"/>
</calcChain>
</file>

<file path=xl/sharedStrings.xml><?xml version="1.0" encoding="utf-8"?>
<sst xmlns="http://schemas.openxmlformats.org/spreadsheetml/2006/main" count="478" uniqueCount="339">
  <si>
    <t>Kolom nr</t>
  </si>
  <si>
    <t>Stream</t>
  </si>
  <si>
    <t>ROLLS Code</t>
  </si>
  <si>
    <t>Opmerkingen</t>
  </si>
  <si>
    <t>status</t>
  </si>
  <si>
    <t>Transform</t>
  </si>
  <si>
    <t>/PldaSswDeclaration/typeDeclaration</t>
  </si>
  <si>
    <t>Vaste Tekst: PD</t>
  </si>
  <si>
    <t>/PldaSswDeclaration/version</t>
  </si>
  <si>
    <t>Vaste Tekst: 1.0</t>
  </si>
  <si>
    <t>/PldaSswDeclaration/dateCreation</t>
  </si>
  <si>
    <t>T000580</t>
  </si>
  <si>
    <t>/PldaSswDeclaration/timeCreation</t>
  </si>
  <si>
    <t>T003941</t>
  </si>
  <si>
    <t>/PldaSswDeclaration/CustomsStreamliner/company</t>
  </si>
  <si>
    <t>Vaste tekst: TE</t>
  </si>
  <si>
    <t>/PldaSswDeclaration/MessageBody/SADDossier/GoodsDeclaration/type</t>
  </si>
  <si>
    <t>Vaste tekst: O</t>
  </si>
  <si>
    <t>/PldaSswDeclaration/MessageBody/SADDossier/GoodsDeclaration/linkId</t>
  </si>
  <si>
    <t>T003422</t>
  </si>
  <si>
    <t>/PldaSswDeclaration/MessageBody/SADDossier/GoodsDeclaration/overview1</t>
  </si>
  <si>
    <t>T004093</t>
  </si>
  <si>
    <t>Type order van ROLLS</t>
  </si>
  <si>
    <t>/PldaSswDeclaration/MessageBody/SADDossier/GoodsDeclaration/Outbound/departedTime</t>
  </si>
  <si>
    <t>/PldaSswDeclaration/MessageBody/SADDossier/GoodsDeclaration/Outbound/departedDate</t>
  </si>
  <si>
    <t>/PldaSswDeclaration/MessageBody/SADDossier/GoodsDeclaration/Outbound/destinationCountry</t>
  </si>
  <si>
    <t>T004478</t>
  </si>
  <si>
    <t>eerste 2 karaketers gebruiken</t>
  </si>
  <si>
    <t>/PldaSswDeclaration/MessageBody/SADDossier/GoodsDeclaration/Outbound/ConsigneeEMCS/Operator/OperatorAddress/country</t>
  </si>
  <si>
    <t>/PldaSswDeclaration/MessageBody/SADDossier/GoodsDeclaration/Outbound/ConsigneeEMCS/Operator/operatorName</t>
  </si>
  <si>
    <t>T000244</t>
  </si>
  <si>
    <t>/PldaSswDeclaration/MessageBody/SADDossier/GoodsDeclaration/Outbound/ConsigneeEMCS/Operator/OperatorAddress/postalCode</t>
  </si>
  <si>
    <t>T000254</t>
  </si>
  <si>
    <t>/PldaSswDeclaration/MessageBody/SADDossier/GoodsDeclaration/Outbound/ConsigneeEMCS/Operator/OperatorAddress/streetAndNumber1</t>
  </si>
  <si>
    <t>T000247 + ‘ ‘ + T000249</t>
  </si>
  <si>
    <t>/PldaSswDeclaration/MessageBody/SADDossier/GoodsDeclaration/Outbound/ConsigneeEMCS/Operator/OperatorAddress/city</t>
  </si>
  <si>
    <t>T000251</t>
  </si>
  <si>
    <t>/PldaSswDeclaration/MessageBody/SADDossier/GoodsDeclaration/Outbound/ConsigneeEMCS/Operator/exciseNumber</t>
  </si>
  <si>
    <t>/PldaSswDeclaration/MessageBody/SADDossier/GoodsDeclaration/Outbound/ConsigneeEMCS/erpId</t>
  </si>
  <si>
    <t>/PldaSswDeclaration/MessageBody/SADDossier/GoodsDeclaration/dossierDate</t>
  </si>
  <si>
    <t>/PldaSswDeclaration/MessageBody/SADDossier/GoodsDeclaration/expectedDate</t>
  </si>
  <si>
    <t>T000580 + T004611</t>
  </si>
  <si>
    <t>/PldaSswDeclaration/MessageBody/SADDossier/GoodsItem/CustomProcedure/customLicensing</t>
  </si>
  <si>
    <t>Vaste Tekst:TE_NOSTOCK</t>
  </si>
  <si>
    <t>/PldaSswDeclaration/MessageBody/SADDossier/GoodsDeclaration/TransportMeans/transportMode</t>
  </si>
  <si>
    <t>T004623</t>
  </si>
  <si>
    <t>/PldaSswDeclaration/MessageBody/SADDossier/GoodsDeclaration/TransportMeans/borderMode</t>
  </si>
  <si>
    <t>/PldaSswDeclaration/MessageBody/SADDossier/GoodsDeclaration/TransportMeans/typeOfIdentification</t>
  </si>
  <si>
    <t>optional in SAP mapping</t>
  </si>
  <si>
    <t>skip</t>
  </si>
  <si>
    <t>/PldaSswDeclaration/MessageBody/SADDossier/GoodsDeclaration/TransportMeans/borderIdentity</t>
  </si>
  <si>
    <t>T004614_1+T004614_2+T004614_3</t>
  </si>
  <si>
    <t>first_27</t>
  </si>
  <si>
    <t>/PldaSswDeclaration/MessageBody/SADDossier/GoodsDeclaration/TransportMeans/dispatchCountry</t>
  </si>
  <si>
    <t>Vaste Tekst: BE. Not found in example</t>
  </si>
  <si>
    <t>/PldaSswDeclaration/MessageBody/SADDossier/GoodsDeclaration/TransportMeans/transportType</t>
  </si>
  <si>
    <t>T004615_1</t>
  </si>
  <si>
    <t>Xpath not found? zie mail Harold</t>
  </si>
  <si>
    <t>/PldaSswDeclaration/MessageBody/SADDossier/GoodsDeclaration/TransportMeans/departureNationality</t>
  </si>
  <si>
    <t>Vaste Tekst: BE</t>
  </si>
  <si>
    <t>/PldaSswDeclaration/MessageBody/SADDossier/GoodsDeclaration/businessUnit</t>
  </si>
  <si>
    <t>Vaste Tekst: TERA</t>
  </si>
  <si>
    <t>/PldaSswDeclaration/MessageBody/SADDossier/GoodsItem/sequence</t>
  </si>
  <si>
    <t>/PldaSswDeclaration/MessageBody/SADDossier/GoodsItem/Outbound/stockType</t>
  </si>
  <si>
    <t>Vaste Tekst: EXCISE</t>
  </si>
  <si>
    <t>Vaste Tekst: TE_NOSTOCK</t>
  </si>
  <si>
    <t>/PldaSswDeclaration/MessageBody/SADDossier/GoodsItem/Product/code</t>
  </si>
  <si>
    <t>T004660</t>
  </si>
  <si>
    <t>/PldaSswDeclaration/MessageBody/SADDossier/GoodsItem/Product/description</t>
  </si>
  <si>
    <t>T001618</t>
  </si>
  <si>
    <t>/PldaSswDeclaration/MessageBody/SADDossier/GoodsItem/Product/CommodityImport/typeDeclaration</t>
  </si>
  <si>
    <t>Vaste Tekst: PI. Not found in example</t>
  </si>
  <si>
    <t>/PldaSswDeclaration/MessageBody/SADDossier/GoodsItem/Product/CommodityImport/commodityCode</t>
  </si>
  <si>
    <t>T001381</t>
  </si>
  <si>
    <t>/PldaSswDeclaration/MessageBody/SADDossier/GoodsItem/Product/CommodityImport/customsGoodsDescription</t>
  </si>
  <si>
    <t>/PldaSswDeclaration/MessageBody/SADDossier/GoodsItem/Product/stockLevel</t>
  </si>
  <si>
    <t>Vaste Tekst: LTR</t>
  </si>
  <si>
    <t>/PldaSswDeclaration/MessageBody/SADDossier/GoodsItem/Product/declareLevel</t>
  </si>
  <si>
    <t>Vaste Tekst: KGM</t>
  </si>
  <si>
    <t>/PldaSswDeclaration/MessageBody/SADDossier/GoodsItem/Product/exciseProductCode</t>
  </si>
  <si>
    <t>/PldaSswDeclaration/MessageBody/SADDossier/GoodsItem/Product/CommercialDescription/commercialDescriptionLanguage</t>
  </si>
  <si>
    <t>T001619</t>
  </si>
  <si>
    <t>/PldaSswDeclaration/MessageBody/SADDossier/GoodsItem/Product/CommercialDescription/commercialDescription</t>
  </si>
  <si>
    <t>/PldaSswDeclaration/MessageBody/SADDossier/GoodsItem/Product/density</t>
  </si>
  <si>
    <t>T004668</t>
  </si>
  <si>
    <t>/PldaSswDeclaration/MessageBody/SADDossier/GoodsItem/goodsDescription</t>
  </si>
  <si>
    <t>/PldaSswDeclaration/MessageBody/SADDossier/GoodsItem/originCountry</t>
  </si>
  <si>
    <t>/PldaSswDeclaration/MessageBody/SADDossier/GoodsItem/netMass</t>
  </si>
  <si>
    <t>T001634</t>
  </si>
  <si>
    <t>/PldaSswDeclaration/MessageBody/SADDossier/GoodsItem/grossMass</t>
  </si>
  <si>
    <t>T001633</t>
  </si>
  <si>
    <t>/PldaSswDeclaration/MessageBody/SADDossier/GoodsItem/stockAmount</t>
  </si>
  <si>
    <t>T002727</t>
  </si>
  <si>
    <t>/PldaSswDeclaration/MessageBody/SADDossier/GoodsItem/Product/alcoholicStrength</t>
  </si>
  <si>
    <t>/PldaSswDeclaration/MessageBody/SADDossier/GoodsItem/Packaging/marksNumber</t>
  </si>
  <si>
    <t>Vaste Tekst: Deellading 1</t>
  </si>
  <si>
    <t>/PldaSswDeclaration/MessageBody/SADDossier/GoodsItem/Packaging/packageType</t>
  </si>
  <si>
    <t>T001808</t>
  </si>
  <si>
    <t>T000003</t>
  </si>
  <si>
    <t>T000004</t>
  </si>
  <si>
    <t>skip (uitgaand is altijd IE815)</t>
  </si>
  <si>
    <t>T000006</t>
  </si>
  <si>
    <t>T000007</t>
  </si>
  <si>
    <t>T000009</t>
  </si>
  <si>
    <t>T000010</t>
  </si>
  <si>
    <t>T000014</t>
  </si>
  <si>
    <t>/PldaSswDeclaration/MessageBody/SADDossier/GoodsDeclaration/DeliveryPlaceTrader/erpId</t>
  </si>
  <si>
    <t>T000044</t>
  </si>
  <si>
    <t>T000083</t>
  </si>
  <si>
    <t>/PldaSswDeclaration/MessageBody/SADDossier/GoodsDeclaration/DeliveryPlaceTrader/Operator/OperatorAddress/country</t>
  </si>
  <si>
    <t>reuse of column 50</t>
  </si>
  <si>
    <t>first_2</t>
  </si>
  <si>
    <t>/PldaSswDeclaration/MessageBody/SADDossier/GoodsDeclaration/Outbound/ConsigneeEMCS/Operator/language</t>
  </si>
  <si>
    <t>T000245</t>
  </si>
  <si>
    <t>/PldaSswDeclaration/MessageBody/SADDossier/GoodsDeclaration/Inbound/Consignor/Operator/operatorName</t>
  </si>
  <si>
    <t>T000287</t>
  </si>
  <si>
    <t>/PldaSswDeclaration/MessageBody/SADDossier/GoodsDeclaration/Inbound/Consignor/Operator/language</t>
  </si>
  <si>
    <t>T000288</t>
  </si>
  <si>
    <t>/PldaSswDeclaration/MessageBody/SADDossier/GoodsDeclaration/Inbound/Consignor/Operator/OperatorAddress/streetAndNumber1</t>
  </si>
  <si>
    <t>T000290+T004508</t>
  </si>
  <si>
    <t>/PldaSswDeclaration/MessageBody/SADDossier/GoodsDeclaration/Inbound/Consignor/Operator/OperatorAddress/city</t>
  </si>
  <si>
    <t>T000292</t>
  </si>
  <si>
    <t>/PldaSswDeclaration/MessageBody/SADDossier/GoodsDeclaration/Inbound/Consignor/Operator/OperatorAddress/postalCode</t>
  </si>
  <si>
    <t>T000295</t>
  </si>
  <si>
    <t>/PldaSswDeclaration/MessageBody/SADDossier/GoodsDeclaration/DeliveryPlaceTrader/Operator/operatorName</t>
  </si>
  <si>
    <t>T000390</t>
  </si>
  <si>
    <t>/PldaSswDeclaration/MessageBody/SADDossier/GoodsDeclaration/DeliveryPlaceTrader/Operator/language</t>
  </si>
  <si>
    <t>T000391</t>
  </si>
  <si>
    <t>excisenumber &amp; exciseoffice mankeren. Liefst niet leeg toevoegen</t>
  </si>
  <si>
    <t>/PldaSswDeclaration/MessageBody/SADDossier/GoodsDeclaration/DeliveryPlaceTrader/Operator/OperatorAddress/streetAndNumber1</t>
  </si>
  <si>
    <t>T000393+T004696</t>
  </si>
  <si>
    <t>/PldaSswDeclaration/MessageBody/SADDossier/GoodsDeclaration/DeliveryPlaceTrader/Operator/OperatorAddress/city</t>
  </si>
  <si>
    <t>T000395</t>
  </si>
  <si>
    <t>/PldaSswDeclaration/MessageBody/SADDossier/GoodsDeclaration/DeliveryPlaceTrader/Operator/OperatorAddress/postalCode</t>
  </si>
  <si>
    <t>T000398</t>
  </si>
  <si>
    <t>T000999</t>
  </si>
  <si>
    <t>indien value=="week" of "maand" dan kopiëren naar SADDossier/GoodsDeclaration/additionalScenarioSmartDeclare</t>
  </si>
  <si>
    <t>/PldaSswDeclaration/MessageBody/SADDossier/GoodsItem/linkId</t>
  </si>
  <si>
    <t>T001379</t>
  </si>
  <si>
    <t>T001810</t>
  </si>
  <si>
    <t>T003380</t>
  </si>
  <si>
    <t>T003381</t>
  </si>
  <si>
    <t>T003421</t>
  </si>
  <si>
    <t>T004098</t>
  </si>
  <si>
    <t>T004469</t>
  </si>
  <si>
    <t>skip (zie 000999)</t>
  </si>
  <si>
    <t>T004470</t>
  </si>
  <si>
    <t>/PldaSswDeclaration/MessageBody/SADDossier/GoodsDeclaration/Inbound/Consignor/erpId</t>
  </si>
  <si>
    <t>T004485</t>
  </si>
  <si>
    <t>/PldaSswDeclaration/MessageBody/SADDossier/GoodsDeclaration/Inbound/Consignor/Operator/OperatorAddress/country</t>
  </si>
  <si>
    <t>/PldaSswDeclaration/MessageBody/SADDossier/GoodsDeclaration/DispatchTrader/erpId</t>
  </si>
  <si>
    <t>T004490</t>
  </si>
  <si>
    <t>/PldaSswDeclaration/MessageBody/SADDossier/GoodsDeclaration/DispatchTrader/Operator/OperatorAddress/country</t>
  </si>
  <si>
    <t>reuse of column 65</t>
  </si>
  <si>
    <t>/PldaSswDeclaration/MessageBody/SADDossier/GoodsDeclaration/DispatchTrader/Operator/operatorName</t>
  </si>
  <si>
    <t>T004493</t>
  </si>
  <si>
    <t>/PldaSswDeclaration/MessageBody/SADDossier/GoodsDeclaration/DispatchTrader/Operator/language</t>
  </si>
  <si>
    <t>T004494</t>
  </si>
  <si>
    <t>/PldaSswDeclaration/MessageBody/SADDossier/GoodsDeclaration/DispatchTrader/Operator/OperatorAddress/streetAndNumber1</t>
  </si>
  <si>
    <t>T004496+T004498</t>
  </si>
  <si>
    <t>/PldaSswDeclaration/MessageBody/SADDossier/GoodsDeclaration/DispatchTrader/Operator/OperatorAddress/city</t>
  </si>
  <si>
    <t>T004500</t>
  </si>
  <si>
    <t>/PldaSswDeclaration/MessageBody/SADDossier/GoodsDeclaration/DispatchTrader/Operator/OperatorAddress/postalCode</t>
  </si>
  <si>
    <t>T004504</t>
  </si>
  <si>
    <t>T004506</t>
  </si>
  <si>
    <t>/PldaSswDeclaration/MessageBody/SADDossier/GoodsDeclaration/DeliveryPlaceTrader/Operator/exciseNumber</t>
  </si>
  <si>
    <t>/PldaSswDeclaration/MessageBody/SADDossier/GoodsDeclaration/FirstTransporterTrader/erpId</t>
  </si>
  <si>
    <t>T004514</t>
  </si>
  <si>
    <t>/PldaSswDeclaration/MessageBody/SADDossier/GoodsDeclaration/FirstTransporterTrader/Operator/OperatorAddress/country</t>
  </si>
  <si>
    <t>/PldaSswDeclaration/MessageBody/SADDossier/GoodsDeclaration/FirstTransporterTrader/Operator/operatorName</t>
  </si>
  <si>
    <t>T004516</t>
  </si>
  <si>
    <t>/PldaSswDeclaration/MessageBody/SADDossier/GoodsDeclaration/FirstTransporterTrader/Operator/language</t>
  </si>
  <si>
    <t>T004517</t>
  </si>
  <si>
    <t>/PldaSswDeclaration/MessageBody/SADDossier/GoodsDeclaration/FirstTransporterTrader/Operator/OperatorAddress/streetAndNumber1</t>
  </si>
  <si>
    <t>T004519+T004521</t>
  </si>
  <si>
    <t>/PldaSswDeclaration/MessageBody/SADDossier/GoodsDeclaration/FirstTransporterTrader/Operator/OperatorAddress/city</t>
  </si>
  <si>
    <t>T004523</t>
  </si>
  <si>
    <t>/PldaSswDeclaration/MessageBody/SADDossier/GoodsDeclaration/FirstTransporterTrader/Operator/OperatorAddress/postalCode</t>
  </si>
  <si>
    <t>T004527</t>
  </si>
  <si>
    <t>/PldaSswDeclaration/MessageBody/SADDossier/GoodsDeclaration/TransportArrangerTrader/erpId</t>
  </si>
  <si>
    <t>T004552</t>
  </si>
  <si>
    <t>/PldaSswDeclaration/MessageBody/SADDossier/GoodsDeclaration/TransportArrangerTrader/Operator/OperatorAddress/country</t>
  </si>
  <si>
    <t>/PldaSswDeclaration/MessageBody/SADDossier/GoodsDeclaration/TransportArrangerTrader/Operator/operatorName</t>
  </si>
  <si>
    <t>T004554</t>
  </si>
  <si>
    <t>/PldaSswDeclaration/MessageBody/SADDossier/GoodsDeclaration/TransportArrangerTrader/Operator/language</t>
  </si>
  <si>
    <t>T004555</t>
  </si>
  <si>
    <t>/PldaSswDeclaration/MessageBody/SADDossier/GoodsDeclaration/TransportArrangerTrader/Operator/OperatorAddress/streetAndNumber1</t>
  </si>
  <si>
    <t>T004557+T004559</t>
  </si>
  <si>
    <t>/PldaSswDeclaration/MessageBody/SADDossier/GoodsDeclaration/TransportArrangerTrader/Operator/OperatorAddress/city</t>
  </si>
  <si>
    <t>T004561</t>
  </si>
  <si>
    <t>/PldaSswDeclaration/MessageBody/SADDossier/GoodsDeclaration/TransportArrangerTrader/Operator/OperatorAddress/postalCode</t>
  </si>
  <si>
    <t>T004565</t>
  </si>
  <si>
    <t>/PldaSswDeclaration/MessageBody/SADDossier/GoodsDeclaration/overview2</t>
  </si>
  <si>
    <t>T004605</t>
  </si>
  <si>
    <t>`</t>
  </si>
  <si>
    <t>/PldaSswDeclaration/MessageBody/SADDossier/GoodsDeclaration/Customs/exitOffice</t>
  </si>
  <si>
    <t>T004606</t>
  </si>
  <si>
    <t>/PldaSswDeclaration/MessageBody/SADDossier/GoodsDeclaration/destinationType</t>
  </si>
  <si>
    <t>T004608</t>
  </si>
  <si>
    <t>T004615_2</t>
  </si>
  <si>
    <t>T004615_3</t>
  </si>
  <si>
    <t>/PldaSswDeclaration/MessageBody/SADDossier/GoodsItem/ProducedDocument/Document/documentReference</t>
  </si>
  <si>
    <t>T004618</t>
  </si>
  <si>
    <t>/PldaSswDeclaration/MessageBody/SADDossier/GoodsItem/ProducedDocument/Document/emcsDocumentType</t>
  </si>
  <si>
    <t>T004619</t>
  </si>
  <si>
    <t>/PldaSswDeclaration/MessageBody/SADDossier/GoodsItem/ProducedDocument/Document/documentReferenceLanguage</t>
  </si>
  <si>
    <t>/PldaSswDeclaration/MessageBody/SADDossier/GoodsDeclaration/TransportMeans/transportArrangment</t>
  </si>
  <si>
    <t>T004625</t>
  </si>
  <si>
    <t>T004637</t>
  </si>
  <si>
    <t>/PldaSswDeclaration/MessageBody/SADDossier/GoodsDeclaration/guarantorType</t>
  </si>
  <si>
    <t>T004638</t>
  </si>
  <si>
    <t>T004732</t>
  </si>
  <si>
    <t>Status</t>
  </si>
  <si>
    <t>XML to CSV</t>
  </si>
  <si>
    <t>T00006</t>
  </si>
  <si>
    <t>IE801</t>
  </si>
  <si>
    <t xml:space="preserve">T004093 </t>
  </si>
  <si>
    <t>EmcsSswArc/MessageBody/CustomsStreamliner/linkId</t>
  </si>
  <si>
    <t>Het ordernummer</t>
  </si>
  <si>
    <t>EmcsSswArc/MessageBody/ie:IE801/ie:Body/ie:EADESADContainer/ie:ExciseMovement/ie:AdministrativeReferenceCode</t>
  </si>
  <si>
    <t>ARCNUMMER</t>
  </si>
  <si>
    <t>ARC Nummer</t>
  </si>
  <si>
    <t>EmcsSswArc/MessageBody/ie:IE801/ie:Body/ie:EADESADContainer/ie:EadEsad/ie:LocalReferenceNumber</t>
  </si>
  <si>
    <t>LRN</t>
  </si>
  <si>
    <t>EmcsSswArc/MessageBody/ie:IE801/ie:Body/ie:EADESADContainer/ie:TransportMode/ie:TransportModeCode</t>
  </si>
  <si>
    <t>EmcsSswArc/MessageBody/ie:IE801/ie:Body/ie:EADESADContainer/ie:TransportDetails/ie:IdentityOfTransportUnits</t>
  </si>
  <si>
    <t>EmcsSswArc/MessageBody/ie:IE801/ie:Body/ie:EADESADContainer/ie:ConsigneeTrader/ie:TraderName</t>
  </si>
  <si>
    <t>EmcsSswArc/MessageBody/ie:IE801/ie:Body/ie:EADESADContainer/ie:BodyEadEsad/ie:BrandNameOfProducts OF /ie:IE801/ie:Body/ie:EADESADContainer/ie:BodyEadEsad/ie:CommercialDescription</t>
  </si>
  <si>
    <t>EmcsSswArc/MessageBody/ie:IE801/ie:Body/ie:EADESADContainer/ie:BodyEadEsad/ie:Quantity</t>
  </si>
  <si>
    <t>EmcsSswArc/MessageBody/ie:IE801/ie:Body/ie:EADESADContainer/ie:BodyEadEsad/ie:GrossMass</t>
  </si>
  <si>
    <t>EmcsSswArc/MessageBody/ie:IE801/ie:Body/ie:EADESADContainer/ie:BodyEadEsad/ie:ExciseProductCode</t>
  </si>
  <si>
    <t>EmcsSswArc/MessageBody/ie:IE801/ie:Body/ie:EADESADContainer/ie:ConsignorTrader/ie:TraderExciseNumber</t>
  </si>
  <si>
    <t>IE810</t>
  </si>
  <si>
    <t>EmcsSswArc/MessageBody/ie:IE704/ie:Body/ie:GenericRefusalMessage/ie:Attributes/ie:AdministrativeReferenceCode/text()</t>
  </si>
  <si>
    <t>EmcsSswArc/MessageBody/ie:IE704/ie:Body/ie:GenericRefusalMessage/ie:FunctionalError/ie:ErrorReason</t>
  </si>
  <si>
    <t>Reden voor Cancel</t>
  </si>
  <si>
    <t>LRN zit niet in de EMCS XSD</t>
  </si>
  <si>
    <t>IE704</t>
  </si>
  <si>
    <t>linkID dit is dan het ROLLS ordernummer</t>
  </si>
  <si>
    <t>002163</t>
  </si>
  <si>
    <t>(003 -&gt; Porthus) of (004 -&gt; EMCS)</t>
  </si>
  <si>
    <t>EmcsSswArc/MessageBody/ie:IE704/ie:Body/ie:GenericRefusalMessage/ie:Attributes/ie:AdministrativeReferenceCode</t>
  </si>
  <si>
    <t>Error Text</t>
  </si>
  <si>
    <t>error text overnemen</t>
  </si>
  <si>
    <t>EmcsSswArc/MessageBody/ie:IE704/ie:Body/ie:GenericRefusalMessage/ie:FunctionalError/ie:ie:ErrorType</t>
  </si>
  <si>
    <t>Echte errorcode van EMCS</t>
  </si>
  <si>
    <t>IE917</t>
  </si>
  <si>
    <t>ARC nummer</t>
  </si>
  <si>
    <t>wss vaste waarde '004'</t>
  </si>
  <si>
    <t>EmcsSswArc/MessageBody/ie:IE704/ie:Body/ie:GenericRefusalMessage/ie:XmlError/ie:ie:ErrorColumnNumber</t>
  </si>
  <si>
    <t>EmcsSswArc/MessageBody/ie:IE704/ie:Body/ie:GenericRefusalMessage/ie:XmlError/ie:ie:ErrorReason</t>
  </si>
  <si>
    <t>EmcsSswArc/MessageBody/ie:IE704/ie:Body/ie:GenericRefusalMessage/ie:XmlError/ie:ie:ErrorLineNumber</t>
  </si>
  <si>
    <t>EmcsSswArc/MessageBody/ie:IE704/ie:Body/ie:GenericRefusalMessage/ie:XmlError/ie:ie:ErrorLocation</t>
  </si>
  <si>
    <t>MessageDetails/type</t>
  </si>
  <si>
    <t>zal RETURN zijn</t>
  </si>
  <si>
    <t>GoodsDeclaration/linkId</t>
  </si>
  <si>
    <t>GoodsDeclaration/SSWDossier/dossierID</t>
  </si>
  <si>
    <t>SSW side ID</t>
  </si>
  <si>
    <t>GoodsDeclaration/SSWDossier/processID</t>
  </si>
  <si>
    <t>samengevoegde declarations delen hetzelfde procesID</t>
  </si>
  <si>
    <t>GoodsDeclaration/SSWDossier/statusDossier</t>
  </si>
  <si>
    <t>CREATE (dossier aangemaakt), DEC_GEN (verwerking dossier richting declaratie), DEC_OK , OK</t>
  </si>
  <si>
    <t>GoodsDeclaration/SSWDossier/substatusDossier</t>
  </si>
  <si>
    <t>INTERFACE_ERROR, AUTO_ERROR, ...</t>
  </si>
  <si>
    <t>GoodsDeclaration/SSWDossier/VariableChecks/*</t>
  </si>
  <si>
    <t>concrete foutmeldingen</t>
  </si>
  <si>
    <t>wat met file dossier contents? acties verwacht?</t>
  </si>
  <si>
    <t>vrij te gebruiken</t>
  </si>
  <si>
    <t>dossier -&gt; SSW integration OK message -&gt; emcs message etc</t>
  </si>
  <si>
    <t>state bijhouden in ROLLS of daarbuiten ook nog? wat als integratie fout loopt</t>
  </si>
  <si>
    <t>welke statussen willen we mee ana de slag?</t>
  </si>
  <si>
    <t>CREATE</t>
  </si>
  <si>
    <t>anders wijst dit op probleem bij generatie of inlezen langs SSW kant</t>
  </si>
  <si>
    <t>DEC_DAT</t>
  </si>
  <si>
    <t>doorgestuurd naar Douane</t>
  </si>
  <si>
    <t>nadien EMCS</t>
  </si>
  <si>
    <t>wanneer een xml van TE niet kan worden verwerkt komt die in de ERROR map, geen aparte error message</t>
  </si>
  <si>
    <t>Intefacing voor foutmeldingen die vanuit stream zelf komen</t>
  </si>
  <si>
    <t>eerst verzending</t>
  </si>
  <si>
    <t>dan foutmeldingen checken in SSW zelf</t>
  </si>
  <si>
    <t>dan proactieve triggering</t>
  </si>
  <si>
    <t>inhoudelijke transformaties gebeuren aan ROLLS kant</t>
  </si>
  <si>
    <t>files (csv, xml, ...) moeten kunnen gefilterd worden op basis van naam</t>
  </si>
  <si>
    <t>uitgaande declaratie</t>
  </si>
  <si>
    <t>ie code</t>
  </si>
  <si>
    <t>...</t>
  </si>
  <si>
    <t>mandatory fields volgens xsd mogen geskipt worden. Volgorde van de tags wel belangrijk</t>
  </si>
  <si>
    <t>csv file kolommen zijn 0 based</t>
  </si>
  <si>
    <t>return messages van SSW met douane content zijn gebaseerd op EMCSSSWDecvlaration</t>
  </si>
  <si>
    <t>EMCS inhoud zit onder C_EAD_VAL</t>
  </si>
  <si>
    <t>mapping te herbekijken volgens EMCSSSWDeclaration</t>
  </si>
  <si>
    <t>geen xsd valdiatie mogelijk gezien die merge</t>
  </si>
  <si>
    <t>lijn 119 gebruiken in de plaats</t>
  </si>
  <si>
    <t>niet gemapt</t>
  </si>
  <si>
    <t>GoodsDeclaration/overview1</t>
  </si>
  <si>
    <t>sending application (eg SSW test)</t>
  </si>
  <si>
    <t>reuse of column 10</t>
  </si>
  <si>
    <t>reuse of column 66</t>
  </si>
  <si>
    <t>reuse of column 74</t>
  </si>
  <si>
    <t>reuse of column 80</t>
  </si>
  <si>
    <t>/PldaSswDeclaration/MessageBody/SADDossier/GoodsDeclaration/overview3</t>
  </si>
  <si>
    <t>/PldaSswDeclaration/MessageBody/SADDossier/GoodsDeclaration/overview5</t>
  </si>
  <si>
    <t>fixed:ROLLS</t>
  </si>
  <si>
    <t>fixed:IE801</t>
  </si>
  <si>
    <t>identity</t>
  </si>
  <si>
    <t>T004467</t>
  </si>
  <si>
    <t>T003584</t>
  </si>
  <si>
    <t>T003585</t>
  </si>
  <si>
    <t>ValidationTime</t>
  </si>
  <si>
    <t>T00009</t>
  </si>
  <si>
    <t>Sender</t>
  </si>
  <si>
    <t>T00010</t>
  </si>
  <si>
    <t>Recipient</t>
  </si>
  <si>
    <t>T003981</t>
  </si>
  <si>
    <t>T003982</t>
  </si>
  <si>
    <t>ValdationDate</t>
  </si>
  <si>
    <t>PreparationDate</t>
  </si>
  <si>
    <t>PreparationTime</t>
  </si>
  <si>
    <t>extract_date</t>
  </si>
  <si>
    <t>extract_time</t>
  </si>
  <si>
    <t>EmcsSswDeclaration/MessageBody/C_EAD_VAL/IE801/Header/MessageSender</t>
  </si>
  <si>
    <t>EmcsSswDeclaration/MessageBody/C_EAD_VAL/IE801/Header/MessageRecipient</t>
  </si>
  <si>
    <t>EmcsSswDeclaration/MessageBody/C_EAD_VAL/IE801/Body/EADESADContainer/ExciseMovement/DateAndTimeOfValidationOfEad</t>
  </si>
  <si>
    <t>/ignore</t>
  </si>
  <si>
    <t>EmcsSswDeclaration/linkIdERP3</t>
  </si>
  <si>
    <t>EmcsSswDeclaration/MessageBody/C_EAD_VAL/IE801/Header/DateOfPreparation</t>
  </si>
  <si>
    <t>EmcsSswDeclaration/MessageBody/C_EAD_VAL/IE801/Header/TimeOfPreparation</t>
  </si>
  <si>
    <t>fixed:IE815</t>
  </si>
  <si>
    <t>komt overeen met return message van SSW  - zie tab</t>
  </si>
  <si>
    <t>tem kolom 6 v oor "arc response 801"</t>
  </si>
  <si>
    <t>T004614</t>
  </si>
  <si>
    <t>GoodsDeclaration/overview3</t>
  </si>
  <si>
    <t>ordernummer in rolls</t>
  </si>
  <si>
    <t>TE side ID (declarationname)</t>
  </si>
  <si>
    <t>Declaration name</t>
  </si>
  <si>
    <t>EmcsSswArc/MessageBody/CustomsStreamliner/commercialReference</t>
  </si>
  <si>
    <t>split element 2</t>
  </si>
  <si>
    <t>interface_error bevat enkel validatie errors door SSW, geen EMCS</t>
  </si>
  <si>
    <t>replace:CREATED=001,INTERFACE_ERROR=003,AUTO_ERROR=004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</si>
</sst>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theme="1"/>
      <name val="-Apple-System"/>
      <charset val="1"/>
    </font>
    <font>
      <b/>
      <sz val="11"/>
      <color theme="1"/>
      <name val="Aptos Narrow"/>
      <scheme val="minor"/>
    </font>
    <font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/>
      <right style="medium">
        <color rgb="FF999999"/>
      </right>
      <top style="thin">
        <color theme="1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 style="thin">
        <color theme="1"/>
      </top>
      <bottom style="thick">
        <color rgb="FF666666"/>
      </bottom>
      <diagonal/>
    </border>
    <border>
      <left style="thin">
        <color theme="1"/>
      </left>
      <right style="medium">
        <color rgb="FF999999"/>
      </right>
      <top style="thin">
        <color theme="1"/>
      </top>
      <bottom style="thick">
        <color rgb="FF666666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rgb="FF666666"/>
      </bottom>
      <diagonal/>
    </border>
    <border>
      <left/>
      <right style="thin">
        <color theme="1"/>
      </right>
      <top style="thin">
        <color theme="1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999999"/>
      </right>
      <top style="thin">
        <color theme="1"/>
      </top>
      <bottom style="medium">
        <color rgb="FF999999"/>
      </bottom>
      <diagonal/>
    </border>
    <border>
      <left/>
      <right style="medium">
        <color rgb="FF999999"/>
      </right>
      <top style="thin">
        <color theme="1"/>
      </top>
      <bottom/>
      <diagonal/>
    </border>
    <border>
      <left/>
      <right style="medium">
        <color rgb="FF999999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0" fillId="0" borderId="10" xfId="0" applyBorder="1"/>
    <xf numFmtId="0" fontId="13" fillId="0" borderId="0" xfId="0" applyFont="1"/>
    <xf numFmtId="0" fontId="0" fillId="0" borderId="11" xfId="0" applyBorder="1"/>
    <xf numFmtId="0" fontId="12" fillId="2" borderId="9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2" fillId="2" borderId="12" xfId="0" applyFont="1" applyFill="1" applyBorder="1"/>
    <xf numFmtId="0" fontId="3" fillId="3" borderId="0" xfId="0" applyFont="1" applyFill="1"/>
    <xf numFmtId="0" fontId="14" fillId="0" borderId="0" xfId="0" applyFont="1"/>
    <xf numFmtId="0" fontId="14" fillId="0" borderId="0" xfId="0" applyFont="1" applyAlignment="1">
      <alignment vertical="center"/>
    </xf>
    <xf numFmtId="49" fontId="13" fillId="0" borderId="0" xfId="0" applyNumberFormat="1" applyFont="1"/>
    <xf numFmtId="0" fontId="0" fillId="3" borderId="0" xfId="0" applyFill="1"/>
    <xf numFmtId="0" fontId="15" fillId="0" borderId="0" xfId="0" applyFont="1"/>
    <xf numFmtId="0" fontId="0" fillId="4" borderId="0" xfId="0" applyFill="1"/>
    <xf numFmtId="0" fontId="7" fillId="0" borderId="0" xfId="0" applyFont="1" applyAlignment="1">
      <alignment wrapText="1"/>
    </xf>
    <xf numFmtId="0" fontId="0" fillId="5" borderId="0" xfId="0" applyFill="1"/>
    <xf numFmtId="49" fontId="0" fillId="0" borderId="0" xfId="0" applyNumberFormat="1"/>
    <xf numFmtId="0" fontId="5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7" fillId="3" borderId="0" xfId="0" applyFont="1" applyFill="1"/>
    <xf numFmtId="0" fontId="8" fillId="3" borderId="0" xfId="0" applyFont="1" applyFill="1"/>
    <xf numFmtId="0" fontId="10" fillId="4" borderId="0" xfId="0" applyFont="1" applyFill="1"/>
    <xf numFmtId="0" fontId="5" fillId="3" borderId="3" xfId="0" applyFont="1" applyFill="1" applyBorder="1" applyAlignment="1">
      <alignment vertical="center" wrapText="1"/>
    </xf>
    <xf numFmtId="0" fontId="15" fillId="3" borderId="0" xfId="0" applyFont="1" applyFill="1"/>
    <xf numFmtId="0" fontId="6" fillId="3" borderId="2" xfId="0" applyFont="1" applyFill="1" applyBorder="1" applyAlignment="1">
      <alignment vertical="center" wrapText="1"/>
    </xf>
    <xf numFmtId="0" fontId="10" fillId="3" borderId="0" xfId="0" applyFont="1" applyFill="1"/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16" fillId="3" borderId="0" xfId="0" applyFont="1" applyFill="1"/>
    <xf numFmtId="0" fontId="1" fillId="3" borderId="0" xfId="0" applyFont="1" applyFill="1"/>
    <xf numFmtId="0" fontId="0" fillId="0" borderId="15" xfId="0" applyBorder="1"/>
    <xf numFmtId="0" fontId="17" fillId="0" borderId="0" xfId="0" applyFont="1" applyAlignment="1">
      <alignment vertical="center" wrapText="1"/>
    </xf>
    <xf numFmtId="0" fontId="0" fillId="0" borderId="10" xfId="0" applyFont="1" applyBorder="1"/>
    <xf numFmtId="0" fontId="0" fillId="0" borderId="15" xfId="0" applyFont="1" applyBorder="1"/>
    <xf numFmtId="0" fontId="0" fillId="0" borderId="19" xfId="0" applyFont="1" applyBorder="1"/>
    <xf numFmtId="0" fontId="0" fillId="0" borderId="20" xfId="0" applyFont="1" applyBorder="1"/>
    <xf numFmtId="0" fontId="17" fillId="0" borderId="10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0" fillId="6" borderId="10" xfId="0" applyFont="1" applyFill="1" applyBorder="1"/>
    <xf numFmtId="0" fontId="17" fillId="0" borderId="15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0" fillId="6" borderId="15" xfId="0" applyFont="1" applyFill="1" applyBorder="1"/>
    <xf numFmtId="0" fontId="0" fillId="0" borderId="0" xfId="0" applyFont="1" applyFill="1" applyBorder="1"/>
    <xf numFmtId="0" fontId="5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17" fillId="0" borderId="21" xfId="0" applyFont="1" applyBorder="1" applyAlignment="1">
      <alignment vertical="center" wrapText="1"/>
    </xf>
    <xf numFmtId="0" fontId="14" fillId="0" borderId="21" xfId="0" applyFont="1" applyBorder="1"/>
    <xf numFmtId="0" fontId="0" fillId="0" borderId="21" xfId="0" applyFont="1" applyBorder="1"/>
    <xf numFmtId="0" fontId="0" fillId="6" borderId="21" xfId="0" applyFont="1" applyFill="1" applyBorder="1"/>
    <xf numFmtId="0" fontId="14" fillId="0" borderId="21" xfId="0" applyFont="1" applyBorder="1" applyAlignment="1">
      <alignment vertical="center"/>
    </xf>
    <xf numFmtId="0" fontId="13" fillId="0" borderId="21" xfId="0" applyFont="1" applyBorder="1"/>
    <xf numFmtId="0" fontId="0" fillId="0" borderId="21" xfId="0" applyFont="1" applyFill="1" applyBorder="1"/>
    <xf numFmtId="0" fontId="17" fillId="3" borderId="10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</cellXfs>
  <cellStyles count="1">
    <cellStyle name="Standaard" xfId="0" builtinId="0"/>
  </cellStyles>
  <dxfs count="24"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bottom style="thick">
          <color rgb="FF666666"/>
        </bottom>
      </border>
    </dxf>
    <dxf>
      <border outline="0">
        <left style="medium">
          <color rgb="FF999999"/>
        </left>
        <top style="medium">
          <color rgb="FF99999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bottom style="thick">
          <color rgb="FF66666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07908-1428-46E5-B098-6287B5968C59}" name="Tabel1" displayName="Tabel1" ref="A1:F123" totalsRowShown="0" headerRowDxfId="21" headerRowBorderDxfId="19" tableBorderDxfId="20">
  <autoFilter ref="A1:F123" xr:uid="{D1007908-1428-46E5-B098-6287B5968C59}"/>
  <tableColumns count="6">
    <tableColumn id="1" xr3:uid="{AF48FF7C-1D1F-4ACF-8CC6-21402F1FCBFA}" name="Kolom nr" dataDxfId="18"/>
    <tableColumn id="2" xr3:uid="{56F2045E-3A52-41E1-8D01-629A0A10A63E}" name="Stream" dataDxfId="17"/>
    <tableColumn id="3" xr3:uid="{25248A49-0F74-4B1D-A7B2-DD89013C7126}" name="ROLLS Code"/>
    <tableColumn id="4" xr3:uid="{7EBD70C2-1BE3-4920-9F26-7AC8AAF0098B}" name="Opmerkingen"/>
    <tableColumn id="5" xr3:uid="{A82BAD71-3BF5-4993-BBA9-41C2EE7298FA}" name="status"/>
    <tableColumn id="6" xr3:uid="{23B7B542-C044-4D1D-8E67-61DF0587A67A}" name="Transfor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C429FC-ECCA-4FD2-A4F2-2126B8F19A90}" name="Tabel3" displayName="Tabel3" ref="A1:F12" totalsRowShown="0" headerRowBorderDxfId="23">
  <autoFilter ref="A1:F12" xr:uid="{94C429FC-ECCA-4FD2-A4F2-2126B8F19A90}"/>
  <tableColumns count="6">
    <tableColumn id="1" xr3:uid="{28CEDDBA-96A6-4C70-B66E-ADCB3C695AB9}" name="Kolom nr"/>
    <tableColumn id="2" xr3:uid="{14C3F321-B77D-4DF5-B72E-82961D94EF28}" name="Stream"/>
    <tableColumn id="3" xr3:uid="{BE23DF4C-F552-424F-A5B5-47E6D66B43C0}" name="ROLLS Code" dataDxfId="22"/>
    <tableColumn id="4" xr3:uid="{1B226270-FE06-45F8-96CA-0D9A7256A6B6}" name="Opmerkingen"/>
    <tableColumn id="5" xr3:uid="{B5F7CE37-593A-4091-AB85-7EA07ED12E3C}" name="Status"/>
    <tableColumn id="6" xr3:uid="{2F0E1D2A-FCD2-474C-A2E3-E8CA5623D6F0}" name="Transfor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4C27-6A8A-4E18-83AA-FB7C8AEF036F}">
  <dimension ref="A1:H135"/>
  <sheetViews>
    <sheetView zoomScale="125" zoomScaleNormal="110" workbookViewId="0">
      <selection activeCell="B30" sqref="B30"/>
    </sheetView>
  </sheetViews>
  <sheetFormatPr baseColWidth="10" defaultColWidth="8.83203125" defaultRowHeight="16"/>
  <cols>
    <col min="1" max="1" width="13.1640625" customWidth="1"/>
    <col min="2" max="2" width="135.6640625" style="5" customWidth="1"/>
    <col min="3" max="3" width="40.83203125" customWidth="1"/>
    <col min="4" max="4" width="88" bestFit="1" customWidth="1"/>
    <col min="6" max="6" width="103.1640625" bestFit="1" customWidth="1"/>
  </cols>
  <sheetData>
    <row r="1" spans="1:8" ht="18" thickBo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</row>
    <row r="2" spans="1:8" ht="19" thickTop="1" thickBot="1">
      <c r="A2" s="9">
        <v>0</v>
      </c>
      <c r="B2" s="6" t="s">
        <v>6</v>
      </c>
      <c r="C2" s="12"/>
      <c r="D2" s="13" t="s">
        <v>7</v>
      </c>
      <c r="F2" s="28"/>
    </row>
    <row r="3" spans="1:8" ht="18" thickBot="1">
      <c r="A3" s="9">
        <v>1</v>
      </c>
      <c r="B3" s="6" t="s">
        <v>8</v>
      </c>
      <c r="C3" s="12"/>
      <c r="D3" s="13" t="s">
        <v>9</v>
      </c>
    </row>
    <row r="4" spans="1:8" ht="18" thickBot="1">
      <c r="A4" s="9">
        <v>2</v>
      </c>
      <c r="B4" s="6" t="s">
        <v>10</v>
      </c>
      <c r="C4" s="2" t="s">
        <v>11</v>
      </c>
    </row>
    <row r="5" spans="1:8" ht="18" thickBot="1">
      <c r="A5" s="9">
        <v>3</v>
      </c>
      <c r="B5" s="6" t="s">
        <v>12</v>
      </c>
      <c r="C5" s="2" t="s">
        <v>13</v>
      </c>
    </row>
    <row r="6" spans="1:8" ht="18" thickBot="1">
      <c r="A6" s="9">
        <v>4</v>
      </c>
      <c r="B6" s="6" t="s">
        <v>14</v>
      </c>
      <c r="C6" s="12"/>
      <c r="D6" s="13" t="s">
        <v>15</v>
      </c>
    </row>
    <row r="7" spans="1:8" ht="18" thickBot="1">
      <c r="A7" s="9">
        <v>5</v>
      </c>
      <c r="B7" s="6" t="s">
        <v>16</v>
      </c>
      <c r="C7" s="12"/>
      <c r="D7" s="13" t="s">
        <v>17</v>
      </c>
    </row>
    <row r="8" spans="1:8" ht="18" thickBot="1">
      <c r="A8" s="9">
        <v>6</v>
      </c>
      <c r="B8" s="4" t="s">
        <v>300</v>
      </c>
      <c r="C8" s="2" t="s">
        <v>19</v>
      </c>
    </row>
    <row r="9" spans="1:8" ht="41" customHeight="1" thickBot="1">
      <c r="A9" s="9">
        <v>7</v>
      </c>
      <c r="B9" s="47" t="s">
        <v>18</v>
      </c>
      <c r="C9" s="2" t="s">
        <v>21</v>
      </c>
      <c r="D9" s="14" t="s">
        <v>22</v>
      </c>
      <c r="H9" s="4" t="s">
        <v>20</v>
      </c>
    </row>
    <row r="10" spans="1:8" ht="18" thickBot="1">
      <c r="A10" s="9">
        <v>7</v>
      </c>
      <c r="B10" s="4" t="s">
        <v>301</v>
      </c>
      <c r="C10" s="2"/>
      <c r="D10" s="14"/>
      <c r="F10" t="s">
        <v>302</v>
      </c>
    </row>
    <row r="11" spans="1:8" ht="18" thickBot="1">
      <c r="A11" s="34">
        <v>8</v>
      </c>
      <c r="B11" s="42" t="s">
        <v>23</v>
      </c>
      <c r="C11" s="36" t="s">
        <v>13</v>
      </c>
      <c r="D11" s="28"/>
      <c r="E11" s="28"/>
      <c r="F11" s="28"/>
    </row>
    <row r="12" spans="1:8" ht="18" thickBot="1">
      <c r="A12" s="9">
        <v>9</v>
      </c>
      <c r="B12" s="4" t="s">
        <v>24</v>
      </c>
      <c r="C12" s="2" t="s">
        <v>11</v>
      </c>
    </row>
    <row r="13" spans="1:8" ht="18" thickBot="1">
      <c r="A13" s="9">
        <v>10</v>
      </c>
      <c r="B13" s="4" t="s">
        <v>25</v>
      </c>
      <c r="C13" s="2" t="s">
        <v>26</v>
      </c>
      <c r="D13" s="14" t="s">
        <v>27</v>
      </c>
    </row>
    <row r="14" spans="1:8" s="28" customFormat="1" ht="18" thickBot="1">
      <c r="A14" s="34">
        <v>10</v>
      </c>
      <c r="B14" s="35" t="s">
        <v>28</v>
      </c>
      <c r="C14" s="36" t="s">
        <v>26</v>
      </c>
      <c r="D14" s="24" t="s">
        <v>296</v>
      </c>
      <c r="F14" s="28" t="s">
        <v>111</v>
      </c>
    </row>
    <row r="15" spans="1:8" ht="18" thickBot="1">
      <c r="A15" s="9">
        <v>11</v>
      </c>
      <c r="B15" s="7" t="s">
        <v>29</v>
      </c>
      <c r="C15" s="8" t="s">
        <v>30</v>
      </c>
      <c r="D15" s="14"/>
    </row>
    <row r="16" spans="1:8" ht="18" thickBot="1">
      <c r="A16" s="9">
        <v>12</v>
      </c>
      <c r="B16" s="7" t="s">
        <v>31</v>
      </c>
      <c r="C16" s="8" t="s">
        <v>32</v>
      </c>
      <c r="D16" s="14"/>
    </row>
    <row r="17" spans="1:6" ht="18" thickBot="1">
      <c r="A17" s="9">
        <v>13</v>
      </c>
      <c r="B17" s="7" t="s">
        <v>33</v>
      </c>
      <c r="C17" s="8" t="s">
        <v>34</v>
      </c>
      <c r="D17" s="14"/>
    </row>
    <row r="18" spans="1:6" ht="18" thickBot="1">
      <c r="A18" s="9">
        <v>14</v>
      </c>
      <c r="B18" s="6" t="s">
        <v>35</v>
      </c>
      <c r="C18" s="2" t="s">
        <v>36</v>
      </c>
      <c r="D18" s="14"/>
    </row>
    <row r="19" spans="1:6" ht="17" thickBot="1">
      <c r="A19" s="9">
        <v>15</v>
      </c>
      <c r="B19" s="6" t="s">
        <v>37</v>
      </c>
      <c r="C19" t="s">
        <v>26</v>
      </c>
      <c r="D19" s="14"/>
    </row>
    <row r="20" spans="1:6" ht="17" thickBot="1">
      <c r="A20" s="9">
        <v>16</v>
      </c>
      <c r="B20" s="6" t="s">
        <v>38</v>
      </c>
      <c r="C20" t="s">
        <v>26</v>
      </c>
      <c r="D20" s="14"/>
    </row>
    <row r="21" spans="1:6" ht="18" thickBot="1">
      <c r="A21" s="9">
        <v>17</v>
      </c>
      <c r="B21" s="6" t="s">
        <v>39</v>
      </c>
      <c r="C21" s="2" t="s">
        <v>11</v>
      </c>
      <c r="D21" s="14"/>
    </row>
    <row r="22" spans="1:6" ht="18" thickBot="1">
      <c r="A22" s="9">
        <v>18</v>
      </c>
      <c r="B22" s="6" t="s">
        <v>40</v>
      </c>
      <c r="C22" s="2" t="s">
        <v>41</v>
      </c>
      <c r="D22" s="14"/>
    </row>
    <row r="23" spans="1:6" ht="17" thickBot="1">
      <c r="A23" s="9">
        <v>19</v>
      </c>
      <c r="B23" s="6" t="s">
        <v>42</v>
      </c>
      <c r="C23" s="6"/>
      <c r="D23" s="39" t="s">
        <v>43</v>
      </c>
    </row>
    <row r="24" spans="1:6" ht="17" thickBot="1">
      <c r="A24" s="9">
        <v>20</v>
      </c>
      <c r="B24" s="6" t="s">
        <v>44</v>
      </c>
      <c r="C24" s="16" t="s">
        <v>45</v>
      </c>
      <c r="D24" s="15"/>
    </row>
    <row r="25" spans="1:6" ht="17" thickBot="1">
      <c r="A25" s="9">
        <v>21</v>
      </c>
      <c r="B25" s="6" t="s">
        <v>46</v>
      </c>
      <c r="C25" s="16" t="s">
        <v>45</v>
      </c>
    </row>
    <row r="26" spans="1:6" s="32" customFormat="1" ht="17" thickBot="1">
      <c r="A26" s="34">
        <v>22</v>
      </c>
      <c r="B26" s="37" t="s">
        <v>47</v>
      </c>
      <c r="C26" s="43"/>
      <c r="D26" s="24" t="s">
        <v>293</v>
      </c>
      <c r="E26" s="28"/>
      <c r="F26" s="28" t="s">
        <v>49</v>
      </c>
    </row>
    <row r="27" spans="1:6" ht="17" thickBot="1">
      <c r="A27" s="9">
        <v>23</v>
      </c>
      <c r="B27" s="5" t="s">
        <v>50</v>
      </c>
      <c r="C27" s="6" t="s">
        <v>51</v>
      </c>
      <c r="F27" t="s">
        <v>52</v>
      </c>
    </row>
    <row r="28" spans="1:6" ht="17" thickBot="1">
      <c r="A28" s="34">
        <v>24</v>
      </c>
      <c r="B28" s="37" t="s">
        <v>53</v>
      </c>
      <c r="C28" s="38"/>
      <c r="D28" s="24" t="s">
        <v>54</v>
      </c>
      <c r="E28" s="28"/>
      <c r="F28" s="28"/>
    </row>
    <row r="29" spans="1:6" s="28" customFormat="1" ht="17" thickBot="1">
      <c r="A29" s="34">
        <v>25</v>
      </c>
      <c r="B29" s="37" t="s">
        <v>55</v>
      </c>
      <c r="C29" s="38" t="s">
        <v>56</v>
      </c>
      <c r="D29" s="28" t="s">
        <v>57</v>
      </c>
    </row>
    <row r="30" spans="1:6" ht="17" thickBot="1">
      <c r="A30" s="9">
        <v>26</v>
      </c>
      <c r="B30" s="5" t="s">
        <v>58</v>
      </c>
      <c r="C30" s="6"/>
      <c r="D30" s="14" t="s">
        <v>59</v>
      </c>
    </row>
    <row r="31" spans="1:6" ht="17" thickBot="1">
      <c r="A31" s="9">
        <v>27</v>
      </c>
      <c r="B31" s="5" t="s">
        <v>60</v>
      </c>
      <c r="C31" s="6"/>
      <c r="D31" s="14" t="s">
        <v>61</v>
      </c>
    </row>
    <row r="32" spans="1:6" ht="17" thickBot="1">
      <c r="A32" s="9">
        <v>28</v>
      </c>
      <c r="B32" s="5" t="s">
        <v>62</v>
      </c>
      <c r="C32" s="6"/>
      <c r="D32" s="14">
        <v>1</v>
      </c>
    </row>
    <row r="33" spans="1:6" ht="17" thickBot="1">
      <c r="A33" s="9">
        <v>29</v>
      </c>
      <c r="B33" s="5" t="s">
        <v>63</v>
      </c>
      <c r="C33" s="6"/>
      <c r="D33" s="14" t="s">
        <v>64</v>
      </c>
    </row>
    <row r="34" spans="1:6" ht="17" thickBot="1">
      <c r="A34" s="9">
        <v>30</v>
      </c>
      <c r="B34" s="5" t="s">
        <v>42</v>
      </c>
      <c r="C34" s="6"/>
      <c r="D34" s="39" t="s">
        <v>65</v>
      </c>
    </row>
    <row r="35" spans="1:6" ht="17" thickBot="1">
      <c r="A35" s="9">
        <v>31</v>
      </c>
      <c r="B35" s="5" t="s">
        <v>66</v>
      </c>
      <c r="C35" s="30" t="s">
        <v>67</v>
      </c>
      <c r="D35" s="14"/>
    </row>
    <row r="36" spans="1:6" ht="17" thickBot="1">
      <c r="A36" s="9">
        <v>32</v>
      </c>
      <c r="B36" s="5" t="s">
        <v>68</v>
      </c>
      <c r="C36" s="6" t="s">
        <v>69</v>
      </c>
    </row>
    <row r="37" spans="1:6" ht="17" thickBot="1">
      <c r="A37" s="34">
        <v>33</v>
      </c>
      <c r="B37" s="37" t="s">
        <v>70</v>
      </c>
      <c r="C37" s="43"/>
      <c r="D37" s="24" t="s">
        <v>71</v>
      </c>
      <c r="E37" s="28"/>
      <c r="F37" s="28"/>
    </row>
    <row r="38" spans="1:6" ht="17" thickBot="1">
      <c r="A38" s="9">
        <v>34</v>
      </c>
      <c r="B38" s="5" t="s">
        <v>72</v>
      </c>
      <c r="C38" s="6" t="s">
        <v>73</v>
      </c>
    </row>
    <row r="39" spans="1:6" ht="17" thickBot="1">
      <c r="A39" s="9">
        <v>35</v>
      </c>
      <c r="B39" s="5" t="s">
        <v>74</v>
      </c>
      <c r="C39" s="6" t="s">
        <v>69</v>
      </c>
    </row>
    <row r="40" spans="1:6" ht="17" thickBot="1">
      <c r="A40" s="9">
        <v>36</v>
      </c>
      <c r="B40" s="5" t="s">
        <v>75</v>
      </c>
      <c r="C40" s="6"/>
      <c r="D40" s="14" t="s">
        <v>76</v>
      </c>
    </row>
    <row r="41" spans="1:6" ht="17" thickBot="1">
      <c r="A41" s="9">
        <v>37</v>
      </c>
      <c r="B41" s="5" t="s">
        <v>77</v>
      </c>
      <c r="C41" s="6"/>
      <c r="D41" s="14" t="s">
        <v>78</v>
      </c>
    </row>
    <row r="42" spans="1:6" s="28" customFormat="1" ht="17" thickBot="1">
      <c r="A42" s="34">
        <v>38</v>
      </c>
      <c r="B42" s="37" t="s">
        <v>79</v>
      </c>
      <c r="C42" s="28" t="s">
        <v>69</v>
      </c>
      <c r="D42" s="46" t="s">
        <v>292</v>
      </c>
      <c r="F42" s="28" t="s">
        <v>49</v>
      </c>
    </row>
    <row r="43" spans="1:6" ht="17" customHeight="1" thickBot="1">
      <c r="A43" s="9">
        <v>39</v>
      </c>
      <c r="B43" s="5" t="s">
        <v>80</v>
      </c>
      <c r="C43" s="6" t="s">
        <v>81</v>
      </c>
    </row>
    <row r="44" spans="1:6" ht="17" thickBot="1">
      <c r="A44" s="9">
        <v>40</v>
      </c>
      <c r="B44" s="5" t="s">
        <v>82</v>
      </c>
      <c r="C44" s="6" t="s">
        <v>69</v>
      </c>
    </row>
    <row r="45" spans="1:6" ht="17" thickBot="1">
      <c r="A45" s="9">
        <v>41</v>
      </c>
      <c r="B45" s="5" t="s">
        <v>83</v>
      </c>
      <c r="C45" s="6" t="s">
        <v>84</v>
      </c>
    </row>
    <row r="46" spans="1:6" s="28" customFormat="1" ht="17" thickBot="1">
      <c r="A46" s="34">
        <v>42</v>
      </c>
      <c r="B46" s="37" t="s">
        <v>85</v>
      </c>
      <c r="C46" s="38" t="s">
        <v>69</v>
      </c>
    </row>
    <row r="47" spans="1:6" ht="17" thickBot="1">
      <c r="A47" s="9">
        <v>43</v>
      </c>
      <c r="B47" s="5" t="s">
        <v>86</v>
      </c>
      <c r="C47" s="6"/>
      <c r="D47" s="14" t="s">
        <v>59</v>
      </c>
    </row>
    <row r="48" spans="1:6" ht="17" thickBot="1">
      <c r="A48" s="9">
        <v>44</v>
      </c>
      <c r="B48" s="5" t="s">
        <v>87</v>
      </c>
      <c r="C48" s="6" t="s">
        <v>88</v>
      </c>
    </row>
    <row r="49" spans="1:6" ht="17" thickBot="1">
      <c r="A49" s="9">
        <v>45</v>
      </c>
      <c r="B49" s="5" t="s">
        <v>89</v>
      </c>
      <c r="C49" s="6" t="s">
        <v>90</v>
      </c>
    </row>
    <row r="50" spans="1:6" ht="17" thickBot="1">
      <c r="A50" s="9">
        <v>46</v>
      </c>
      <c r="B50" s="5" t="s">
        <v>91</v>
      </c>
      <c r="C50" s="6" t="s">
        <v>92</v>
      </c>
      <c r="D50" s="14"/>
    </row>
    <row r="51" spans="1:6" ht="17" thickBot="1">
      <c r="A51" s="9">
        <v>47</v>
      </c>
      <c r="B51" s="5" t="s">
        <v>93</v>
      </c>
      <c r="C51" s="6"/>
      <c r="D51" s="14" t="s">
        <v>48</v>
      </c>
    </row>
    <row r="52" spans="1:6" ht="17" thickBot="1">
      <c r="A52" s="9">
        <v>48</v>
      </c>
      <c r="B52" s="5" t="s">
        <v>94</v>
      </c>
      <c r="C52" s="6"/>
      <c r="D52" s="14" t="s">
        <v>95</v>
      </c>
    </row>
    <row r="53" spans="1:6" ht="17" thickBot="1">
      <c r="A53" s="9">
        <v>49</v>
      </c>
      <c r="B53" s="5" t="s">
        <v>96</v>
      </c>
      <c r="C53" s="6" t="s">
        <v>97</v>
      </c>
    </row>
    <row r="54" spans="1:6">
      <c r="A54" s="12"/>
      <c r="B54" t="s">
        <v>49</v>
      </c>
      <c r="C54" s="30" t="s">
        <v>98</v>
      </c>
    </row>
    <row r="55" spans="1:6">
      <c r="A55" s="12"/>
      <c r="B55" t="s">
        <v>49</v>
      </c>
      <c r="C55" s="30" t="s">
        <v>99</v>
      </c>
    </row>
    <row r="56" spans="1:6">
      <c r="A56" s="12"/>
      <c r="B56" t="s">
        <v>100</v>
      </c>
      <c r="C56" s="30" t="s">
        <v>101</v>
      </c>
    </row>
    <row r="57" spans="1:6">
      <c r="A57" s="12"/>
      <c r="B57" t="s">
        <v>49</v>
      </c>
      <c r="C57" s="30" t="s">
        <v>102</v>
      </c>
    </row>
    <row r="58" spans="1:6">
      <c r="A58" s="12"/>
      <c r="B58" t="s">
        <v>49</v>
      </c>
      <c r="C58" s="30" t="s">
        <v>103</v>
      </c>
    </row>
    <row r="59" spans="1:6">
      <c r="A59" s="12"/>
      <c r="B59" t="s">
        <v>49</v>
      </c>
      <c r="C59" s="30" t="s">
        <v>104</v>
      </c>
    </row>
    <row r="60" spans="1:6">
      <c r="A60" s="12"/>
      <c r="B60" t="s">
        <v>49</v>
      </c>
      <c r="C60" s="30" t="s">
        <v>105</v>
      </c>
    </row>
    <row r="61" spans="1:6">
      <c r="A61" s="12">
        <v>50</v>
      </c>
      <c r="B61" t="s">
        <v>106</v>
      </c>
      <c r="C61" s="30" t="s">
        <v>107</v>
      </c>
    </row>
    <row r="62" spans="1:6">
      <c r="A62" s="12"/>
      <c r="B62" t="s">
        <v>49</v>
      </c>
      <c r="C62" s="30" t="s">
        <v>108</v>
      </c>
    </row>
    <row r="63" spans="1:6" s="28" customFormat="1" ht="17" thickBot="1">
      <c r="A63" s="34">
        <v>50</v>
      </c>
      <c r="B63" s="37" t="s">
        <v>109</v>
      </c>
      <c r="C63" s="28" t="s">
        <v>107</v>
      </c>
      <c r="D63" s="28" t="s">
        <v>110</v>
      </c>
      <c r="F63" s="28" t="s">
        <v>111</v>
      </c>
    </row>
    <row r="64" spans="1:6" s="28" customFormat="1" ht="18" thickBot="1">
      <c r="A64" s="34">
        <v>51</v>
      </c>
      <c r="B64" s="4" t="s">
        <v>20</v>
      </c>
      <c r="C64" s="2" t="s">
        <v>108</v>
      </c>
    </row>
    <row r="65" spans="1:6" s="28" customFormat="1">
      <c r="A65" s="40">
        <v>52</v>
      </c>
      <c r="B65" s="28" t="s">
        <v>112</v>
      </c>
      <c r="C65" s="28" t="s">
        <v>113</v>
      </c>
    </row>
    <row r="66" spans="1:6">
      <c r="A66" s="12">
        <f t="shared" ref="A66:A121" si="0">A65+1</f>
        <v>53</v>
      </c>
      <c r="B66" s="30" t="s">
        <v>114</v>
      </c>
      <c r="C66" s="30" t="s">
        <v>115</v>
      </c>
      <c r="D66" s="30"/>
    </row>
    <row r="67" spans="1:6">
      <c r="A67" s="12">
        <f t="shared" si="0"/>
        <v>54</v>
      </c>
      <c r="B67" s="30" t="s">
        <v>116</v>
      </c>
      <c r="C67" s="30" t="s">
        <v>117</v>
      </c>
      <c r="D67" s="30"/>
    </row>
    <row r="68" spans="1:6">
      <c r="A68" s="12">
        <f t="shared" si="0"/>
        <v>55</v>
      </c>
      <c r="B68" s="30" t="s">
        <v>118</v>
      </c>
      <c r="C68" s="30" t="s">
        <v>119</v>
      </c>
      <c r="D68" s="30"/>
    </row>
    <row r="69" spans="1:6">
      <c r="A69" s="12">
        <f t="shared" si="0"/>
        <v>56</v>
      </c>
      <c r="B69" s="30" t="s">
        <v>120</v>
      </c>
      <c r="C69" s="30" t="s">
        <v>121</v>
      </c>
      <c r="D69" s="30"/>
    </row>
    <row r="70" spans="1:6">
      <c r="A70" s="12">
        <f t="shared" si="0"/>
        <v>57</v>
      </c>
      <c r="B70" s="30" t="s">
        <v>122</v>
      </c>
      <c r="C70" s="30" t="s">
        <v>123</v>
      </c>
      <c r="D70" s="30"/>
    </row>
    <row r="71" spans="1:6">
      <c r="A71" s="12">
        <f>A70+1</f>
        <v>58</v>
      </c>
      <c r="B71" s="30" t="s">
        <v>124</v>
      </c>
      <c r="C71" s="30" t="s">
        <v>125</v>
      </c>
      <c r="D71" s="30"/>
    </row>
    <row r="72" spans="1:6" s="28" customFormat="1">
      <c r="A72" s="40">
        <f t="shared" si="0"/>
        <v>59</v>
      </c>
      <c r="B72" s="28" t="s">
        <v>126</v>
      </c>
      <c r="C72" s="28" t="s">
        <v>127</v>
      </c>
      <c r="D72" s="28" t="s">
        <v>128</v>
      </c>
    </row>
    <row r="73" spans="1:6">
      <c r="A73" s="12">
        <f t="shared" si="0"/>
        <v>60</v>
      </c>
      <c r="B73" s="30" t="s">
        <v>129</v>
      </c>
      <c r="C73" s="30" t="s">
        <v>130</v>
      </c>
      <c r="D73" s="30"/>
    </row>
    <row r="74" spans="1:6">
      <c r="A74" s="12">
        <f t="shared" si="0"/>
        <v>61</v>
      </c>
      <c r="B74" s="30" t="s">
        <v>131</v>
      </c>
      <c r="C74" s="30" t="s">
        <v>132</v>
      </c>
      <c r="D74" s="30"/>
    </row>
    <row r="75" spans="1:6">
      <c r="A75" s="12">
        <f t="shared" si="0"/>
        <v>62</v>
      </c>
      <c r="B75" s="30" t="s">
        <v>133</v>
      </c>
      <c r="C75" s="30" t="s">
        <v>134</v>
      </c>
      <c r="D75" s="30"/>
    </row>
    <row r="76" spans="1:6">
      <c r="A76" s="12">
        <f t="shared" si="0"/>
        <v>63</v>
      </c>
      <c r="B76" s="29" t="s">
        <v>20</v>
      </c>
      <c r="C76" s="30" t="s">
        <v>135</v>
      </c>
      <c r="D76" s="29"/>
      <c r="F76" t="s">
        <v>136</v>
      </c>
    </row>
    <row r="77" spans="1:6">
      <c r="A77" s="12">
        <f t="shared" si="0"/>
        <v>64</v>
      </c>
      <c r="B77" t="s">
        <v>137</v>
      </c>
      <c r="C77" s="30" t="s">
        <v>138</v>
      </c>
      <c r="D77" s="5"/>
    </row>
    <row r="78" spans="1:6">
      <c r="A78" s="12"/>
      <c r="B78" t="s">
        <v>49</v>
      </c>
      <c r="C78" s="30" t="s">
        <v>139</v>
      </c>
    </row>
    <row r="79" spans="1:6">
      <c r="A79" s="12"/>
      <c r="B79" t="s">
        <v>49</v>
      </c>
      <c r="C79" s="30" t="s">
        <v>140</v>
      </c>
    </row>
    <row r="80" spans="1:6">
      <c r="A80" s="12"/>
      <c r="B80" t="s">
        <v>49</v>
      </c>
      <c r="C80" s="30" t="s">
        <v>141</v>
      </c>
    </row>
    <row r="81" spans="1:6">
      <c r="A81" s="12"/>
      <c r="B81" t="s">
        <v>49</v>
      </c>
      <c r="C81" s="30" t="s">
        <v>142</v>
      </c>
    </row>
    <row r="82" spans="1:6">
      <c r="A82" s="12"/>
      <c r="B82" t="s">
        <v>49</v>
      </c>
      <c r="C82" s="30" t="s">
        <v>143</v>
      </c>
    </row>
    <row r="83" spans="1:6">
      <c r="A83" s="12"/>
      <c r="B83" t="s">
        <v>49</v>
      </c>
      <c r="C83" s="30" t="s">
        <v>144</v>
      </c>
    </row>
    <row r="84" spans="1:6">
      <c r="A84" s="12"/>
      <c r="B84" t="s">
        <v>145</v>
      </c>
      <c r="C84" s="30" t="s">
        <v>146</v>
      </c>
    </row>
    <row r="85" spans="1:6">
      <c r="A85" s="12">
        <v>65</v>
      </c>
      <c r="B85" t="s">
        <v>147</v>
      </c>
      <c r="C85" s="30" t="s">
        <v>148</v>
      </c>
    </row>
    <row r="86" spans="1:6" s="28" customFormat="1" ht="17" thickBot="1">
      <c r="A86" s="34">
        <v>65</v>
      </c>
      <c r="B86" s="28" t="s">
        <v>149</v>
      </c>
      <c r="C86" s="28" t="s">
        <v>148</v>
      </c>
      <c r="D86" s="28" t="s">
        <v>153</v>
      </c>
      <c r="F86" s="28" t="s">
        <v>111</v>
      </c>
    </row>
    <row r="87" spans="1:6">
      <c r="A87" s="12">
        <f>A85+1</f>
        <v>66</v>
      </c>
      <c r="B87" t="s">
        <v>150</v>
      </c>
      <c r="C87" s="30" t="s">
        <v>151</v>
      </c>
    </row>
    <row r="88" spans="1:6" s="28" customFormat="1" ht="17" thickBot="1">
      <c r="A88" s="34">
        <v>66</v>
      </c>
      <c r="B88" s="37" t="s">
        <v>152</v>
      </c>
      <c r="C88" s="28" t="s">
        <v>151</v>
      </c>
      <c r="D88" s="28" t="s">
        <v>297</v>
      </c>
      <c r="F88" s="28" t="s">
        <v>111</v>
      </c>
    </row>
    <row r="89" spans="1:6">
      <c r="A89" s="12">
        <f>A87+1</f>
        <v>67</v>
      </c>
      <c r="B89" s="30" t="s">
        <v>154</v>
      </c>
      <c r="C89" s="30" t="s">
        <v>155</v>
      </c>
      <c r="D89" s="30"/>
    </row>
    <row r="90" spans="1:6">
      <c r="A90" s="12">
        <f t="shared" si="0"/>
        <v>68</v>
      </c>
      <c r="B90" s="30" t="s">
        <v>156</v>
      </c>
      <c r="C90" s="30" t="s">
        <v>157</v>
      </c>
      <c r="D90" s="30"/>
    </row>
    <row r="91" spans="1:6">
      <c r="A91" s="12">
        <f t="shared" si="0"/>
        <v>69</v>
      </c>
      <c r="B91" s="30" t="s">
        <v>158</v>
      </c>
      <c r="C91" s="30" t="s">
        <v>159</v>
      </c>
      <c r="D91" s="30"/>
    </row>
    <row r="92" spans="1:6">
      <c r="A92" s="12">
        <f t="shared" si="0"/>
        <v>70</v>
      </c>
      <c r="B92" s="30" t="s">
        <v>160</v>
      </c>
      <c r="C92" s="30" t="s">
        <v>161</v>
      </c>
      <c r="D92" s="30"/>
    </row>
    <row r="93" spans="1:6">
      <c r="A93" s="12">
        <f t="shared" si="0"/>
        <v>71</v>
      </c>
      <c r="B93" s="30" t="s">
        <v>162</v>
      </c>
      <c r="C93" s="30" t="s">
        <v>163</v>
      </c>
      <c r="D93" s="30"/>
    </row>
    <row r="94" spans="1:6">
      <c r="A94" s="12">
        <f t="shared" si="0"/>
        <v>72</v>
      </c>
      <c r="B94" s="30" t="s">
        <v>106</v>
      </c>
      <c r="C94" s="30" t="s">
        <v>164</v>
      </c>
      <c r="D94" s="30"/>
    </row>
    <row r="95" spans="1:6" ht="17" thickBot="1">
      <c r="A95" s="9">
        <v>72</v>
      </c>
      <c r="B95" s="30" t="s">
        <v>165</v>
      </c>
      <c r="C95" s="30" t="s">
        <v>164</v>
      </c>
      <c r="D95" s="30"/>
    </row>
    <row r="96" spans="1:6">
      <c r="A96" s="12">
        <v>73</v>
      </c>
      <c r="B96" t="s">
        <v>166</v>
      </c>
      <c r="C96" s="30" t="s">
        <v>167</v>
      </c>
    </row>
    <row r="97" spans="1:6" s="28" customFormat="1" ht="17" thickBot="1">
      <c r="A97" s="34">
        <v>73</v>
      </c>
      <c r="B97" s="37" t="s">
        <v>168</v>
      </c>
      <c r="C97" s="28" t="s">
        <v>167</v>
      </c>
      <c r="D97" s="28" t="s">
        <v>298</v>
      </c>
      <c r="F97" s="28" t="s">
        <v>111</v>
      </c>
    </row>
    <row r="98" spans="1:6">
      <c r="A98" s="12">
        <f>A96+1</f>
        <v>74</v>
      </c>
      <c r="B98" s="30" t="s">
        <v>169</v>
      </c>
      <c r="C98" s="30" t="s">
        <v>170</v>
      </c>
      <c r="D98" s="30"/>
    </row>
    <row r="99" spans="1:6">
      <c r="A99" s="12">
        <f t="shared" si="0"/>
        <v>75</v>
      </c>
      <c r="B99" s="30" t="s">
        <v>171</v>
      </c>
      <c r="C99" s="30" t="s">
        <v>172</v>
      </c>
      <c r="D99" s="30"/>
    </row>
    <row r="100" spans="1:6">
      <c r="A100" s="12">
        <f t="shared" si="0"/>
        <v>76</v>
      </c>
      <c r="B100" s="30" t="s">
        <v>173</v>
      </c>
      <c r="C100" s="30" t="s">
        <v>174</v>
      </c>
      <c r="D100" s="30"/>
    </row>
    <row r="101" spans="1:6">
      <c r="A101" s="12">
        <v>77</v>
      </c>
      <c r="B101" s="30" t="s">
        <v>175</v>
      </c>
      <c r="C101" s="30" t="s">
        <v>176</v>
      </c>
      <c r="D101" s="30"/>
    </row>
    <row r="102" spans="1:6">
      <c r="A102" s="12">
        <f t="shared" si="0"/>
        <v>78</v>
      </c>
      <c r="B102" s="30" t="s">
        <v>177</v>
      </c>
      <c r="C102" s="30" t="s">
        <v>178</v>
      </c>
      <c r="D102" s="30"/>
    </row>
    <row r="103" spans="1:6">
      <c r="A103" s="12">
        <f t="shared" si="0"/>
        <v>79</v>
      </c>
      <c r="B103" t="s">
        <v>179</v>
      </c>
      <c r="C103" s="30" t="s">
        <v>180</v>
      </c>
    </row>
    <row r="104" spans="1:6" s="28" customFormat="1" ht="17" thickBot="1">
      <c r="A104" s="34">
        <v>79</v>
      </c>
      <c r="B104" s="37" t="s">
        <v>181</v>
      </c>
      <c r="C104" s="28" t="s">
        <v>180</v>
      </c>
      <c r="D104" s="28" t="s">
        <v>299</v>
      </c>
      <c r="F104" s="28" t="s">
        <v>111</v>
      </c>
    </row>
    <row r="105" spans="1:6">
      <c r="A105" s="12">
        <f>A103+1</f>
        <v>80</v>
      </c>
      <c r="B105" s="30" t="s">
        <v>182</v>
      </c>
      <c r="C105" s="30" t="s">
        <v>183</v>
      </c>
      <c r="D105" s="30"/>
    </row>
    <row r="106" spans="1:6">
      <c r="A106" s="12">
        <f t="shared" si="0"/>
        <v>81</v>
      </c>
      <c r="B106" s="30" t="s">
        <v>184</v>
      </c>
      <c r="C106" s="30" t="s">
        <v>185</v>
      </c>
      <c r="D106" s="30"/>
    </row>
    <row r="107" spans="1:6">
      <c r="A107" s="12">
        <f t="shared" si="0"/>
        <v>82</v>
      </c>
      <c r="B107" s="30" t="s">
        <v>186</v>
      </c>
      <c r="C107" s="30" t="s">
        <v>187</v>
      </c>
      <c r="D107" s="30"/>
    </row>
    <row r="108" spans="1:6">
      <c r="A108" s="12">
        <f t="shared" si="0"/>
        <v>83</v>
      </c>
      <c r="B108" s="30" t="s">
        <v>188</v>
      </c>
      <c r="C108" s="30" t="s">
        <v>189</v>
      </c>
      <c r="D108" s="30"/>
    </row>
    <row r="109" spans="1:6">
      <c r="A109" s="12">
        <f t="shared" si="0"/>
        <v>84</v>
      </c>
      <c r="B109" s="30" t="s">
        <v>190</v>
      </c>
      <c r="C109" s="30" t="s">
        <v>191</v>
      </c>
      <c r="D109" s="30"/>
    </row>
    <row r="110" spans="1:6">
      <c r="A110" s="12">
        <f t="shared" si="0"/>
        <v>85</v>
      </c>
      <c r="B110" t="s">
        <v>192</v>
      </c>
      <c r="C110" s="30" t="s">
        <v>193</v>
      </c>
      <c r="D110" t="s">
        <v>194</v>
      </c>
    </row>
    <row r="111" spans="1:6">
      <c r="A111" s="12">
        <f t="shared" si="0"/>
        <v>86</v>
      </c>
      <c r="B111" t="s">
        <v>195</v>
      </c>
      <c r="C111" s="30" t="s">
        <v>196</v>
      </c>
    </row>
    <row r="112" spans="1:6">
      <c r="A112" s="12">
        <f t="shared" si="0"/>
        <v>87</v>
      </c>
      <c r="B112" t="s">
        <v>197</v>
      </c>
      <c r="C112" s="30" t="s">
        <v>198</v>
      </c>
    </row>
    <row r="113" spans="1:3">
      <c r="A113" s="12"/>
      <c r="B113" t="s">
        <v>49</v>
      </c>
      <c r="C113" s="30" t="s">
        <v>199</v>
      </c>
    </row>
    <row r="114" spans="1:3">
      <c r="A114" s="12"/>
      <c r="B114" t="s">
        <v>49</v>
      </c>
      <c r="C114" s="30" t="s">
        <v>200</v>
      </c>
    </row>
    <row r="115" spans="1:3">
      <c r="A115" s="12">
        <v>88</v>
      </c>
      <c r="B115" t="s">
        <v>201</v>
      </c>
      <c r="C115" s="30" t="s">
        <v>202</v>
      </c>
    </row>
    <row r="116" spans="1:3">
      <c r="A116" s="12">
        <v>89</v>
      </c>
      <c r="B116" t="s">
        <v>203</v>
      </c>
      <c r="C116" s="30" t="s">
        <v>204</v>
      </c>
    </row>
    <row r="117" spans="1:3" s="28" customFormat="1" ht="17" thickBot="1">
      <c r="A117" s="34">
        <v>90</v>
      </c>
      <c r="B117" s="41" t="s">
        <v>205</v>
      </c>
      <c r="C117" s="28" t="s">
        <v>204</v>
      </c>
    </row>
    <row r="118" spans="1:3" s="28" customFormat="1">
      <c r="A118" s="40">
        <f t="shared" si="0"/>
        <v>91</v>
      </c>
      <c r="B118" s="41" t="s">
        <v>206</v>
      </c>
      <c r="C118" s="28" t="s">
        <v>207</v>
      </c>
    </row>
    <row r="119" spans="1:3">
      <c r="A119" s="12"/>
      <c r="B119" s="29" t="s">
        <v>49</v>
      </c>
      <c r="C119" s="30" t="s">
        <v>208</v>
      </c>
    </row>
    <row r="120" spans="1:3">
      <c r="A120" s="12">
        <v>92</v>
      </c>
      <c r="B120" s="29" t="s">
        <v>209</v>
      </c>
      <c r="C120" s="30" t="s">
        <v>210</v>
      </c>
    </row>
    <row r="121" spans="1:3" s="28" customFormat="1">
      <c r="A121" s="40">
        <f t="shared" si="0"/>
        <v>93</v>
      </c>
      <c r="B121" s="28" t="s">
        <v>79</v>
      </c>
      <c r="C121" s="28" t="s">
        <v>67</v>
      </c>
    </row>
    <row r="122" spans="1:3" ht="18" thickBot="1">
      <c r="A122" s="9">
        <v>94</v>
      </c>
      <c r="B122" s="31" t="s">
        <v>66</v>
      </c>
      <c r="C122" s="30" t="s">
        <v>67</v>
      </c>
    </row>
    <row r="123" spans="1:3" ht="17" thickBot="1">
      <c r="A123" s="9"/>
      <c r="B123" t="s">
        <v>49</v>
      </c>
      <c r="C123" s="30" t="s">
        <v>211</v>
      </c>
    </row>
    <row r="124" spans="1:3" ht="17" thickBot="1">
      <c r="A124" s="1"/>
    </row>
    <row r="125" spans="1:3" ht="17" thickBot="1">
      <c r="A125" s="1"/>
    </row>
    <row r="126" spans="1:3" ht="17" thickBot="1">
      <c r="A126" s="1"/>
    </row>
    <row r="127" spans="1:3" ht="17" thickBot="1">
      <c r="A127" s="1"/>
    </row>
    <row r="128" spans="1:3" ht="17" thickBot="1">
      <c r="A128" s="1"/>
    </row>
    <row r="129" spans="1:1" ht="17" thickBot="1">
      <c r="A129" s="1"/>
    </row>
    <row r="130" spans="1:1" ht="17" thickBot="1">
      <c r="A130" s="1"/>
    </row>
    <row r="131" spans="1:1" ht="17" thickBot="1">
      <c r="A131" s="1"/>
    </row>
    <row r="132" spans="1:1" ht="17" thickBot="1">
      <c r="A132" s="1"/>
    </row>
    <row r="133" spans="1:1" ht="17" thickBot="1">
      <c r="A133" s="1"/>
    </row>
    <row r="134" spans="1:1" ht="17" thickBot="1">
      <c r="A134" s="1"/>
    </row>
    <row r="135" spans="1:1" ht="17" thickBot="1">
      <c r="A135" s="1"/>
    </row>
  </sheetData>
  <phoneticPr fontId="9" type="noConversion"/>
  <conditionalFormatting sqref="E2:E54 E57:E60 E62:E76 E78:E82 E84:E86 E89:E123">
    <cfRule type="expression" dxfId="16" priority="1">
      <formula>AND($B2&lt;&gt;"",OR($C2&lt;&gt;"",$D2&lt;&gt;""))</formula>
    </cfRule>
  </conditionalFormatting>
  <conditionalFormatting sqref="E55">
    <cfRule type="expression" dxfId="15" priority="5">
      <formula>AND($B55&lt;&gt;"",OR($C55&lt;&gt;"",$D56&lt;&gt;""))</formula>
    </cfRule>
  </conditionalFormatting>
  <conditionalFormatting sqref="E56">
    <cfRule type="expression" dxfId="14" priority="6">
      <formula>AND($B56&lt;&gt;"",OR($C56&lt;&gt;"",#REF!&lt;&gt;""))</formula>
    </cfRule>
  </conditionalFormatting>
  <conditionalFormatting sqref="E61">
    <cfRule type="expression" dxfId="13" priority="8">
      <formula>AND($D61&lt;&gt;"",OR($C61&lt;&gt;"",#REF!&lt;&gt;""))</formula>
    </cfRule>
  </conditionalFormatting>
  <conditionalFormatting sqref="E77">
    <cfRule type="expression" dxfId="12" priority="13">
      <formula>AND(#REF!&lt;&gt;"",OR($C77&lt;&gt;"",$D77&lt;&gt;""))</formula>
    </cfRule>
  </conditionalFormatting>
  <conditionalFormatting sqref="E83">
    <cfRule type="expression" dxfId="11" priority="11">
      <formula>AND($B83&lt;&gt;"",OR($C83&lt;&gt;"",#REF!&lt;&gt;""))</formula>
    </cfRule>
  </conditionalFormatting>
  <conditionalFormatting sqref="E87:E88">
    <cfRule type="expression" dxfId="10" priority="10">
      <formula>AND($B87&lt;&gt;"",OR($C87&lt;&gt;"",$D83&lt;&gt;""))</formula>
    </cfRule>
  </conditionalFormatting>
  <dataValidations disablePrompts="1" count="1">
    <dataValidation type="list" allowBlank="1" showInputMessage="1" showErrorMessage="1" sqref="D77" xr:uid="{7139A785-83F1-4465-8349-9788272C85AB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B162-3EB4-48F5-9A5C-3C2EF5590E1C}">
  <dimension ref="A1:F13"/>
  <sheetViews>
    <sheetView zoomScale="130" zoomScaleNormal="130" workbookViewId="0">
      <selection activeCell="D26" sqref="D26"/>
    </sheetView>
  </sheetViews>
  <sheetFormatPr baseColWidth="10" defaultColWidth="8.83203125" defaultRowHeight="15"/>
  <cols>
    <col min="1" max="1" width="11.5" customWidth="1"/>
    <col min="2" max="2" width="128.1640625" customWidth="1"/>
    <col min="3" max="3" width="18.6640625" customWidth="1"/>
    <col min="4" max="4" width="67.5" bestFit="1" customWidth="1"/>
    <col min="6" max="6" width="12.1640625" customWidth="1"/>
    <col min="8" max="8" width="24.6640625" bestFit="1" customWidth="1"/>
  </cols>
  <sheetData>
    <row r="1" spans="1:6" ht="18" thickBot="1">
      <c r="A1" s="10" t="s">
        <v>0</v>
      </c>
      <c r="B1" s="10" t="s">
        <v>1</v>
      </c>
      <c r="C1" s="10" t="s">
        <v>2</v>
      </c>
      <c r="D1" s="11" t="s">
        <v>3</v>
      </c>
      <c r="E1" s="19" t="s">
        <v>212</v>
      </c>
      <c r="F1" s="19" t="s">
        <v>5</v>
      </c>
    </row>
    <row r="2" spans="1:6" ht="18" thickTop="1">
      <c r="A2" s="49">
        <v>0</v>
      </c>
      <c r="B2" s="64" t="s">
        <v>323</v>
      </c>
      <c r="C2" s="62" t="s">
        <v>214</v>
      </c>
      <c r="D2" s="61" t="s">
        <v>304</v>
      </c>
      <c r="E2" s="63"/>
      <c r="F2" s="63" t="s">
        <v>303</v>
      </c>
    </row>
    <row r="3" spans="1:6" ht="17">
      <c r="A3">
        <v>1</v>
      </c>
      <c r="B3" s="64" t="s">
        <v>324</v>
      </c>
      <c r="C3" s="62" t="s">
        <v>216</v>
      </c>
      <c r="D3" s="63" t="s">
        <v>334</v>
      </c>
      <c r="E3" s="63"/>
      <c r="F3" s="63"/>
    </row>
    <row r="4" spans="1:6" ht="17">
      <c r="A4">
        <v>2</v>
      </c>
      <c r="B4" s="63" t="s">
        <v>335</v>
      </c>
      <c r="C4" s="62" t="s">
        <v>19</v>
      </c>
      <c r="D4" s="63" t="s">
        <v>218</v>
      </c>
      <c r="E4" s="63"/>
      <c r="F4" s="63" t="s">
        <v>336</v>
      </c>
    </row>
    <row r="5" spans="1:6" ht="17">
      <c r="A5">
        <v>3</v>
      </c>
      <c r="B5" s="65" t="s">
        <v>219</v>
      </c>
      <c r="C5" s="62" t="s">
        <v>305</v>
      </c>
      <c r="D5" s="63" t="s">
        <v>221</v>
      </c>
      <c r="E5" s="63"/>
      <c r="F5" s="63"/>
    </row>
    <row r="6" spans="1:6" ht="17">
      <c r="A6">
        <v>4</v>
      </c>
      <c r="B6" s="64" t="s">
        <v>322</v>
      </c>
      <c r="C6" s="62" t="s">
        <v>306</v>
      </c>
      <c r="D6" s="66" t="s">
        <v>315</v>
      </c>
      <c r="E6" s="67"/>
      <c r="F6" s="66" t="s">
        <v>318</v>
      </c>
    </row>
    <row r="7" spans="1:6" ht="17">
      <c r="A7">
        <v>5</v>
      </c>
      <c r="B7" s="64" t="s">
        <v>322</v>
      </c>
      <c r="C7" s="62" t="s">
        <v>307</v>
      </c>
      <c r="D7" s="66" t="s">
        <v>308</v>
      </c>
      <c r="E7" s="67"/>
      <c r="F7" s="66" t="s">
        <v>319</v>
      </c>
    </row>
    <row r="8" spans="1:6">
      <c r="A8">
        <f>A7+1</f>
        <v>6</v>
      </c>
      <c r="B8" s="68" t="s">
        <v>222</v>
      </c>
      <c r="C8" s="69" t="s">
        <v>108</v>
      </c>
      <c r="D8" s="70" t="s">
        <v>223</v>
      </c>
      <c r="E8" s="63"/>
      <c r="F8" s="63"/>
    </row>
    <row r="9" spans="1:6" ht="18" thickBot="1">
      <c r="A9">
        <v>7</v>
      </c>
      <c r="B9" s="71" t="s">
        <v>320</v>
      </c>
      <c r="C9" s="72" t="s">
        <v>309</v>
      </c>
      <c r="D9" s="54" t="s">
        <v>310</v>
      </c>
      <c r="E9" s="56"/>
      <c r="F9" s="52"/>
    </row>
    <row r="10" spans="1:6" ht="18" thickBot="1">
      <c r="A10">
        <v>8</v>
      </c>
      <c r="B10" s="71" t="s">
        <v>321</v>
      </c>
      <c r="C10" s="72" t="s">
        <v>311</v>
      </c>
      <c r="D10" s="54" t="s">
        <v>312</v>
      </c>
      <c r="E10" s="56"/>
      <c r="F10" s="52"/>
    </row>
    <row r="11" spans="1:6" ht="17">
      <c r="A11">
        <v>9</v>
      </c>
      <c r="B11" s="71" t="s">
        <v>325</v>
      </c>
      <c r="C11" s="55" t="s">
        <v>313</v>
      </c>
      <c r="D11" s="50" t="s">
        <v>316</v>
      </c>
      <c r="E11" s="56"/>
      <c r="F11" s="52"/>
    </row>
    <row r="12" spans="1:6" ht="17">
      <c r="A12">
        <v>10</v>
      </c>
      <c r="B12" s="71" t="s">
        <v>326</v>
      </c>
      <c r="C12" s="55" t="s">
        <v>314</v>
      </c>
      <c r="D12" s="50" t="s">
        <v>317</v>
      </c>
      <c r="E12" s="56"/>
      <c r="F12" s="52"/>
    </row>
    <row r="13" spans="1:6">
      <c r="E13" s="48"/>
    </row>
  </sheetData>
  <conditionalFormatting sqref="E13">
    <cfRule type="expression" dxfId="9" priority="5">
      <formula>AND($B13&lt;&gt;"",OR($C13&lt;&gt;"",$D13&lt;&gt;""))</formula>
    </cfRule>
  </conditionalFormatting>
  <conditionalFormatting sqref="E2:E5">
    <cfRule type="expression" dxfId="1" priority="1">
      <formula>AND($B2&lt;&gt;"",OR($C2&lt;&gt;"",$D2&lt;&gt;""))</formula>
    </cfRule>
  </conditionalFormatting>
  <conditionalFormatting sqref="E8">
    <cfRule type="expression" dxfId="0" priority="2">
      <formula>AND($B8&lt;&gt;"",OR($C8&lt;&gt;"",$D8&lt;&gt;""))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7F6F-35C7-4896-8651-06A204F27861}">
  <dimension ref="A1:F20"/>
  <sheetViews>
    <sheetView zoomScale="140" zoomScaleNormal="140" workbookViewId="0">
      <selection activeCell="B4" sqref="B4"/>
    </sheetView>
  </sheetViews>
  <sheetFormatPr baseColWidth="10" defaultColWidth="8.83203125" defaultRowHeight="15"/>
  <cols>
    <col min="2" max="2" width="176.1640625" bestFit="1" customWidth="1"/>
    <col min="3" max="3" width="33" customWidth="1"/>
    <col min="4" max="4" width="36.5" customWidth="1"/>
    <col min="6" max="6" width="17.33203125" customWidth="1"/>
  </cols>
  <sheetData>
    <row r="1" spans="1:6" ht="35" thickBot="1">
      <c r="A1" s="20" t="s">
        <v>0</v>
      </c>
      <c r="B1" s="21" t="s">
        <v>1</v>
      </c>
      <c r="C1" s="21" t="s">
        <v>2</v>
      </c>
      <c r="D1" s="22" t="s">
        <v>3</v>
      </c>
      <c r="E1" s="23" t="s">
        <v>212</v>
      </c>
      <c r="F1" s="23" t="s">
        <v>5</v>
      </c>
    </row>
    <row r="2" spans="1:6" ht="19" thickTop="1" thickBot="1">
      <c r="A2" s="13">
        <v>0</v>
      </c>
      <c r="B2" s="12"/>
      <c r="C2" s="2" t="s">
        <v>214</v>
      </c>
      <c r="D2" s="13" t="s">
        <v>215</v>
      </c>
      <c r="F2" s="24"/>
    </row>
    <row r="3" spans="1:6" ht="17">
      <c r="A3">
        <v>1</v>
      </c>
      <c r="B3" s="54" t="s">
        <v>324</v>
      </c>
      <c r="C3" s="3" t="s">
        <v>216</v>
      </c>
    </row>
    <row r="4" spans="1:6" ht="18" thickBot="1">
      <c r="A4">
        <v>2</v>
      </c>
      <c r="B4" t="s">
        <v>217</v>
      </c>
      <c r="C4" s="2" t="s">
        <v>19</v>
      </c>
      <c r="D4" t="s">
        <v>218</v>
      </c>
    </row>
    <row r="5" spans="1:6" ht="17">
      <c r="A5">
        <v>3</v>
      </c>
      <c r="B5" s="25" t="s">
        <v>219</v>
      </c>
      <c r="C5" s="55" t="s">
        <v>305</v>
      </c>
      <c r="D5" t="s">
        <v>221</v>
      </c>
    </row>
    <row r="6" spans="1:6" ht="17">
      <c r="A6">
        <v>4</v>
      </c>
      <c r="B6" s="54" t="s">
        <v>322</v>
      </c>
      <c r="C6" s="55" t="s">
        <v>306</v>
      </c>
      <c r="D6" s="50" t="s">
        <v>315</v>
      </c>
      <c r="E6" s="56"/>
      <c r="F6" s="52" t="s">
        <v>318</v>
      </c>
    </row>
    <row r="7" spans="1:6" ht="17">
      <c r="A7">
        <v>5</v>
      </c>
      <c r="B7" s="57" t="s">
        <v>322</v>
      </c>
      <c r="C7" s="58" t="s">
        <v>307</v>
      </c>
      <c r="D7" s="51" t="s">
        <v>308</v>
      </c>
      <c r="E7" s="59"/>
      <c r="F7" s="53" t="s">
        <v>319</v>
      </c>
    </row>
    <row r="8" spans="1:6">
      <c r="A8">
        <f>A7+1</f>
        <v>6</v>
      </c>
      <c r="B8" s="26" t="s">
        <v>222</v>
      </c>
      <c r="C8" s="18" t="s">
        <v>108</v>
      </c>
      <c r="D8" s="60" t="s">
        <v>223</v>
      </c>
    </row>
    <row r="9" spans="1:6">
      <c r="A9">
        <f t="shared" ref="A9:A16" si="0">A8+1</f>
        <v>7</v>
      </c>
      <c r="B9" s="26" t="s">
        <v>224</v>
      </c>
      <c r="C9" s="18" t="s">
        <v>45</v>
      </c>
    </row>
    <row r="10" spans="1:6">
      <c r="A10">
        <f t="shared" si="0"/>
        <v>8</v>
      </c>
      <c r="B10" s="26" t="s">
        <v>225</v>
      </c>
      <c r="C10" s="18" t="s">
        <v>330</v>
      </c>
    </row>
    <row r="11" spans="1:6">
      <c r="A11">
        <f t="shared" si="0"/>
        <v>9</v>
      </c>
      <c r="B11" s="26" t="s">
        <v>226</v>
      </c>
      <c r="C11" s="18" t="s">
        <v>155</v>
      </c>
    </row>
    <row r="12" spans="1:6">
      <c r="A12">
        <f t="shared" si="0"/>
        <v>10</v>
      </c>
      <c r="B12" s="26" t="s">
        <v>227</v>
      </c>
      <c r="C12" s="18" t="s">
        <v>69</v>
      </c>
    </row>
    <row r="13" spans="1:6">
      <c r="A13">
        <f t="shared" si="0"/>
        <v>11</v>
      </c>
      <c r="B13" s="26" t="s">
        <v>228</v>
      </c>
      <c r="C13" s="18" t="s">
        <v>92</v>
      </c>
    </row>
    <row r="14" spans="1:6">
      <c r="A14">
        <f t="shared" si="0"/>
        <v>12</v>
      </c>
      <c r="B14" s="26" t="s">
        <v>229</v>
      </c>
      <c r="C14" s="18" t="s">
        <v>88</v>
      </c>
    </row>
    <row r="15" spans="1:6">
      <c r="A15">
        <f t="shared" si="0"/>
        <v>13</v>
      </c>
      <c r="B15" s="26" t="s">
        <v>230</v>
      </c>
      <c r="C15" s="18" t="s">
        <v>73</v>
      </c>
    </row>
    <row r="16" spans="1:6">
      <c r="A16">
        <f t="shared" si="0"/>
        <v>14</v>
      </c>
      <c r="B16" s="26" t="s">
        <v>231</v>
      </c>
      <c r="C16" s="18" t="s">
        <v>148</v>
      </c>
    </row>
    <row r="17" spans="2:3">
      <c r="C17" s="18"/>
    </row>
    <row r="20" spans="2:3">
      <c r="B20" t="s">
        <v>329</v>
      </c>
    </row>
  </sheetData>
  <conditionalFormatting sqref="E2:E5">
    <cfRule type="expression" dxfId="6" priority="2">
      <formula>AND($B2&lt;&gt;"",OR($C2&lt;&gt;"",$D2&lt;&gt;""))</formula>
    </cfRule>
  </conditionalFormatting>
  <conditionalFormatting sqref="E8:E17">
    <cfRule type="expression" dxfId="5" priority="3">
      <formula>AND($B8&lt;&gt;"",OR($C8&lt;&gt;"",$D8&lt;&gt;""))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EBA7-470D-48A5-B7E9-423A23621CD3}">
  <dimension ref="A1:F6"/>
  <sheetViews>
    <sheetView workbookViewId="0">
      <selection activeCell="A3" sqref="A3"/>
    </sheetView>
  </sheetViews>
  <sheetFormatPr baseColWidth="10" defaultColWidth="8.83203125" defaultRowHeight="15"/>
  <cols>
    <col min="2" max="2" width="103.83203125" customWidth="1"/>
    <col min="3" max="3" width="51.5" customWidth="1"/>
    <col min="4" max="4" width="76" bestFit="1" customWidth="1"/>
    <col min="5" max="5" width="21.5" customWidth="1"/>
    <col min="6" max="6" width="18.5" customWidth="1"/>
  </cols>
  <sheetData>
    <row r="1" spans="1:6" ht="34">
      <c r="A1" s="20" t="s">
        <v>0</v>
      </c>
      <c r="B1" s="21" t="s">
        <v>1</v>
      </c>
      <c r="C1" s="21" t="s">
        <v>2</v>
      </c>
      <c r="D1" s="22" t="s">
        <v>3</v>
      </c>
      <c r="E1" s="23" t="s">
        <v>212</v>
      </c>
      <c r="F1" s="24" t="s">
        <v>213</v>
      </c>
    </row>
    <row r="2" spans="1:6" ht="17">
      <c r="A2" s="13">
        <v>0</v>
      </c>
      <c r="B2" s="12"/>
      <c r="C2" s="2" t="s">
        <v>214</v>
      </c>
      <c r="D2" s="13" t="s">
        <v>232</v>
      </c>
      <c r="F2" s="24"/>
    </row>
    <row r="3" spans="1:6" ht="17">
      <c r="A3">
        <v>1</v>
      </c>
      <c r="B3" s="4"/>
      <c r="C3" s="3" t="s">
        <v>216</v>
      </c>
      <c r="D3" s="14"/>
    </row>
    <row r="4" spans="1:6">
      <c r="A4">
        <v>1</v>
      </c>
      <c r="B4" s="26" t="s">
        <v>233</v>
      </c>
      <c r="C4" s="18" t="s">
        <v>220</v>
      </c>
    </row>
    <row r="5" spans="1:6">
      <c r="A5">
        <v>2</v>
      </c>
      <c r="B5" s="26" t="s">
        <v>234</v>
      </c>
      <c r="C5" s="18"/>
      <c r="D5" t="s">
        <v>235</v>
      </c>
    </row>
    <row r="6" spans="1:6">
      <c r="A6">
        <v>3</v>
      </c>
      <c r="B6" s="17" t="s">
        <v>217</v>
      </c>
      <c r="C6" s="18" t="s">
        <v>223</v>
      </c>
      <c r="D6" t="s">
        <v>236</v>
      </c>
    </row>
  </sheetData>
  <conditionalFormatting sqref="E2:E6">
    <cfRule type="expression" dxfId="4" priority="1">
      <formula>AND($B2&lt;&gt;"",OR($C2&lt;&gt;"",$D2&lt;&gt;""))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6927-CC9C-451D-802A-84E8EE652137}">
  <dimension ref="A1:F7"/>
  <sheetViews>
    <sheetView zoomScale="160" workbookViewId="0">
      <selection activeCell="D7" sqref="D7"/>
    </sheetView>
  </sheetViews>
  <sheetFormatPr baseColWidth="10" defaultColWidth="8.83203125" defaultRowHeight="15"/>
  <cols>
    <col min="2" max="2" width="88.1640625" bestFit="1" customWidth="1"/>
    <col min="3" max="3" width="26.5" customWidth="1"/>
    <col min="4" max="4" width="33.5" bestFit="1" customWidth="1"/>
    <col min="6" max="6" width="10.1640625" bestFit="1" customWidth="1"/>
  </cols>
  <sheetData>
    <row r="1" spans="1:6" ht="34">
      <c r="A1" s="20" t="s">
        <v>0</v>
      </c>
      <c r="B1" s="21" t="s">
        <v>1</v>
      </c>
      <c r="C1" s="21" t="s">
        <v>2</v>
      </c>
      <c r="D1" s="22" t="s">
        <v>3</v>
      </c>
      <c r="E1" s="23" t="s">
        <v>212</v>
      </c>
      <c r="F1" s="24" t="s">
        <v>213</v>
      </c>
    </row>
    <row r="2" spans="1:6" ht="17">
      <c r="A2" s="13">
        <v>0</v>
      </c>
      <c r="B2" s="12"/>
      <c r="C2" s="2" t="s">
        <v>214</v>
      </c>
      <c r="D2" s="13" t="s">
        <v>237</v>
      </c>
      <c r="F2" s="24"/>
    </row>
    <row r="3" spans="1:6" ht="17">
      <c r="A3">
        <v>1</v>
      </c>
      <c r="B3" s="4"/>
      <c r="C3" s="3" t="s">
        <v>216</v>
      </c>
      <c r="D3" s="14"/>
    </row>
    <row r="4" spans="1:6">
      <c r="A4">
        <v>1</v>
      </c>
      <c r="B4" s="17" t="s">
        <v>217</v>
      </c>
      <c r="C4" t="s">
        <v>223</v>
      </c>
      <c r="D4" t="s">
        <v>238</v>
      </c>
    </row>
    <row r="5" spans="1:6">
      <c r="A5">
        <v>2</v>
      </c>
      <c r="B5" t="s">
        <v>234</v>
      </c>
      <c r="C5" s="27" t="s">
        <v>239</v>
      </c>
      <c r="D5" t="s">
        <v>240</v>
      </c>
    </row>
    <row r="6" spans="1:6">
      <c r="A6">
        <v>4</v>
      </c>
      <c r="B6" t="s">
        <v>241</v>
      </c>
      <c r="C6" t="s">
        <v>242</v>
      </c>
      <c r="D6" t="s">
        <v>243</v>
      </c>
    </row>
    <row r="7" spans="1:6">
      <c r="A7">
        <v>5</v>
      </c>
      <c r="B7" t="s">
        <v>244</v>
      </c>
      <c r="D7" t="s">
        <v>245</v>
      </c>
    </row>
  </sheetData>
  <conditionalFormatting sqref="E2:E7">
    <cfRule type="expression" dxfId="3" priority="1">
      <formula>AND($B2&lt;&gt;"",OR($C2&lt;&gt;"",$D2&lt;&gt;""))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77E0-F1AB-4666-9FA9-D1E469D1B50E}">
  <dimension ref="A1"/>
  <sheetViews>
    <sheetView workbookViewId="0">
      <selection activeCell="A2" sqref="A2"/>
    </sheetView>
  </sheetViews>
  <sheetFormatPr baseColWidth="10" defaultColWidth="8.83203125" defaultRowHeight="15"/>
  <sheetData>
    <row r="1" spans="1:1">
      <c r="A1" t="s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BBF5-79B7-4D18-987F-7B5C524BB360}">
  <dimension ref="A1:F11"/>
  <sheetViews>
    <sheetView workbookViewId="0">
      <selection activeCell="A3" sqref="A3"/>
    </sheetView>
  </sheetViews>
  <sheetFormatPr baseColWidth="10" defaultColWidth="8.83203125" defaultRowHeight="15"/>
  <cols>
    <col min="2" max="2" width="98.1640625" bestFit="1" customWidth="1"/>
    <col min="3" max="3" width="22.1640625" customWidth="1"/>
    <col min="4" max="4" width="33.5" bestFit="1" customWidth="1"/>
    <col min="6" max="6" width="10.1640625" bestFit="1" customWidth="1"/>
  </cols>
  <sheetData>
    <row r="1" spans="1:6" ht="34">
      <c r="A1" s="20" t="s">
        <v>0</v>
      </c>
      <c r="B1" s="21" t="s">
        <v>1</v>
      </c>
      <c r="C1" s="21" t="s">
        <v>2</v>
      </c>
      <c r="D1" s="22" t="s">
        <v>3</v>
      </c>
      <c r="E1" s="23" t="s">
        <v>212</v>
      </c>
      <c r="F1" s="24" t="s">
        <v>213</v>
      </c>
    </row>
    <row r="2" spans="1:6" ht="17">
      <c r="A2" s="13">
        <v>0</v>
      </c>
      <c r="B2" s="12"/>
      <c r="C2" s="2" t="s">
        <v>214</v>
      </c>
      <c r="D2" s="13" t="s">
        <v>246</v>
      </c>
      <c r="F2" s="24"/>
    </row>
    <row r="3" spans="1:6" ht="17">
      <c r="A3">
        <v>1</v>
      </c>
      <c r="B3" s="4"/>
      <c r="C3" s="3" t="s">
        <v>216</v>
      </c>
      <c r="D3" s="14"/>
    </row>
    <row r="4" spans="1:6">
      <c r="A4">
        <v>1</v>
      </c>
      <c r="B4" s="17" t="s">
        <v>217</v>
      </c>
      <c r="C4" t="s">
        <v>223</v>
      </c>
      <c r="D4" t="s">
        <v>238</v>
      </c>
    </row>
    <row r="5" spans="1:6">
      <c r="A5">
        <v>2</v>
      </c>
      <c r="B5" t="s">
        <v>234</v>
      </c>
      <c r="D5" t="s">
        <v>247</v>
      </c>
    </row>
    <row r="6" spans="1:6">
      <c r="A6">
        <v>3</v>
      </c>
      <c r="C6">
        <v>2163</v>
      </c>
      <c r="D6" s="14" t="s">
        <v>248</v>
      </c>
    </row>
    <row r="7" spans="1:6">
      <c r="A7">
        <v>4</v>
      </c>
      <c r="B7" t="s">
        <v>241</v>
      </c>
      <c r="C7" t="s">
        <v>242</v>
      </c>
    </row>
    <row r="8" spans="1:6">
      <c r="A8">
        <v>5</v>
      </c>
      <c r="B8" t="s">
        <v>249</v>
      </c>
      <c r="C8" t="s">
        <v>242</v>
      </c>
      <c r="D8" t="s">
        <v>245</v>
      </c>
    </row>
    <row r="9" spans="1:6">
      <c r="B9" t="s">
        <v>250</v>
      </c>
      <c r="C9" t="s">
        <v>242</v>
      </c>
      <c r="D9" t="s">
        <v>245</v>
      </c>
    </row>
    <row r="10" spans="1:6">
      <c r="B10" t="s">
        <v>251</v>
      </c>
      <c r="C10" t="s">
        <v>242</v>
      </c>
      <c r="D10" t="s">
        <v>245</v>
      </c>
    </row>
    <row r="11" spans="1:6">
      <c r="B11" t="s">
        <v>252</v>
      </c>
      <c r="C11" t="s">
        <v>242</v>
      </c>
      <c r="D11" t="s">
        <v>245</v>
      </c>
    </row>
  </sheetData>
  <conditionalFormatting sqref="E2:E11">
    <cfRule type="expression" dxfId="2" priority="1">
      <formula>AND($B2&lt;&gt;"",OR($C2&lt;&gt;"",$D2&lt;&gt;""))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B1A7-6059-4E2A-A1AB-8C3E8840F95D}">
  <dimension ref="A1:F27"/>
  <sheetViews>
    <sheetView tabSelected="1" zoomScale="130" zoomScaleNormal="130" workbookViewId="0">
      <selection activeCell="F12" sqref="F12"/>
    </sheetView>
  </sheetViews>
  <sheetFormatPr baseColWidth="10" defaultColWidth="8.83203125" defaultRowHeight="15"/>
  <cols>
    <col min="1" max="1" width="12.5" customWidth="1"/>
    <col min="2" max="2" width="152.5" customWidth="1"/>
    <col min="3" max="3" width="13.1640625" customWidth="1"/>
    <col min="4" max="4" width="71.33203125" bestFit="1" customWidth="1"/>
    <col min="6" max="6" width="53.1640625" bestFit="1" customWidth="1"/>
  </cols>
  <sheetData>
    <row r="1" spans="1:6" ht="34">
      <c r="A1" s="44" t="s">
        <v>0</v>
      </c>
      <c r="B1" s="45" t="s">
        <v>1</v>
      </c>
      <c r="C1" s="45" t="s">
        <v>2</v>
      </c>
      <c r="D1" s="44" t="s">
        <v>3</v>
      </c>
      <c r="E1" s="44" t="s">
        <v>4</v>
      </c>
      <c r="F1" s="44" t="s">
        <v>5</v>
      </c>
    </row>
    <row r="2" spans="1:6">
      <c r="A2">
        <v>0</v>
      </c>
      <c r="B2" t="s">
        <v>253</v>
      </c>
      <c r="D2" t="s">
        <v>254</v>
      </c>
      <c r="F2" t="s">
        <v>327</v>
      </c>
    </row>
    <row r="3" spans="1:6">
      <c r="A3">
        <v>1</v>
      </c>
      <c r="B3" t="s">
        <v>255</v>
      </c>
      <c r="D3" t="s">
        <v>333</v>
      </c>
    </row>
    <row r="4" spans="1:6">
      <c r="A4">
        <v>2</v>
      </c>
      <c r="B4" t="s">
        <v>256</v>
      </c>
      <c r="D4" t="s">
        <v>257</v>
      </c>
    </row>
    <row r="5" spans="1:6">
      <c r="A5">
        <v>3</v>
      </c>
      <c r="B5" t="s">
        <v>258</v>
      </c>
      <c r="D5" t="s">
        <v>259</v>
      </c>
    </row>
    <row r="6" spans="1:6">
      <c r="A6">
        <v>4</v>
      </c>
      <c r="B6" t="s">
        <v>260</v>
      </c>
      <c r="D6" t="s">
        <v>261</v>
      </c>
    </row>
    <row r="7" spans="1:6">
      <c r="A7">
        <v>5</v>
      </c>
      <c r="B7" t="s">
        <v>262</v>
      </c>
      <c r="D7" t="s">
        <v>263</v>
      </c>
      <c r="F7" t="s">
        <v>338</v>
      </c>
    </row>
    <row r="8" spans="1:6">
      <c r="A8">
        <v>6</v>
      </c>
      <c r="B8" t="s">
        <v>264</v>
      </c>
      <c r="D8" t="s">
        <v>265</v>
      </c>
    </row>
    <row r="9" spans="1:6">
      <c r="A9">
        <v>7</v>
      </c>
      <c r="B9" t="s">
        <v>294</v>
      </c>
      <c r="D9" t="s">
        <v>295</v>
      </c>
    </row>
    <row r="10" spans="1:6">
      <c r="A10">
        <v>8</v>
      </c>
      <c r="B10" t="s">
        <v>331</v>
      </c>
      <c r="D10" t="s">
        <v>332</v>
      </c>
    </row>
    <row r="18" spans="2:4">
      <c r="B18" t="s">
        <v>266</v>
      </c>
      <c r="D18" t="s">
        <v>267</v>
      </c>
    </row>
    <row r="19" spans="2:4">
      <c r="B19" t="s">
        <v>268</v>
      </c>
    </row>
    <row r="20" spans="2:4">
      <c r="B20" t="s">
        <v>269</v>
      </c>
    </row>
    <row r="21" spans="2:4">
      <c r="B21" t="s">
        <v>270</v>
      </c>
    </row>
    <row r="22" spans="2:4">
      <c r="C22" t="s">
        <v>271</v>
      </c>
      <c r="D22" t="s">
        <v>272</v>
      </c>
    </row>
    <row r="23" spans="2:4">
      <c r="C23" t="s">
        <v>273</v>
      </c>
      <c r="D23" t="s">
        <v>274</v>
      </c>
    </row>
    <row r="24" spans="2:4">
      <c r="C24" t="s">
        <v>275</v>
      </c>
    </row>
    <row r="26" spans="2:4">
      <c r="B26" t="s">
        <v>276</v>
      </c>
    </row>
    <row r="27" spans="2:4">
      <c r="B27" t="s">
        <v>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DE1E-C760-445B-9695-764BC6E6D260}">
  <dimension ref="A1:C18"/>
  <sheetViews>
    <sheetView workbookViewId="0">
      <selection activeCell="B19" sqref="B19"/>
    </sheetView>
  </sheetViews>
  <sheetFormatPr baseColWidth="10" defaultColWidth="8.83203125" defaultRowHeight="15"/>
  <cols>
    <col min="2" max="2" width="135.1640625" customWidth="1"/>
    <col min="3" max="3" width="9.1640625" style="33"/>
  </cols>
  <sheetData>
    <row r="1" spans="1:3">
      <c r="A1" t="s">
        <v>277</v>
      </c>
    </row>
    <row r="2" spans="1:3">
      <c r="B2" t="s">
        <v>278</v>
      </c>
    </row>
    <row r="3" spans="1:3">
      <c r="B3" t="s">
        <v>279</v>
      </c>
    </row>
    <row r="4" spans="1:3">
      <c r="B4" t="s">
        <v>280</v>
      </c>
    </row>
    <row r="5" spans="1:3">
      <c r="A5" t="s">
        <v>281</v>
      </c>
    </row>
    <row r="6" spans="1:3">
      <c r="A6" t="s">
        <v>282</v>
      </c>
    </row>
    <row r="7" spans="1:3">
      <c r="B7" t="s">
        <v>283</v>
      </c>
    </row>
    <row r="8" spans="1:3">
      <c r="B8" t="s">
        <v>284</v>
      </c>
    </row>
    <row r="9" spans="1:3">
      <c r="B9" t="s">
        <v>285</v>
      </c>
    </row>
    <row r="11" spans="1:3">
      <c r="A11" t="s">
        <v>286</v>
      </c>
      <c r="C11"/>
    </row>
    <row r="12" spans="1:3">
      <c r="C12"/>
    </row>
    <row r="13" spans="1:3">
      <c r="A13" t="s">
        <v>287</v>
      </c>
      <c r="C13"/>
    </row>
    <row r="14" spans="1:3">
      <c r="C14"/>
    </row>
    <row r="15" spans="1:3">
      <c r="A15" t="s">
        <v>288</v>
      </c>
      <c r="C15"/>
    </row>
    <row r="16" spans="1:3">
      <c r="B16" t="s">
        <v>289</v>
      </c>
      <c r="C16"/>
    </row>
    <row r="17" spans="2:2">
      <c r="B17" t="s">
        <v>290</v>
      </c>
    </row>
    <row r="18" spans="2:2">
      <c r="B18" t="s">
        <v>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a93555b-d831-4975-9519-1e883dd949cb" xsi:nil="true"/>
    <lcf76f155ced4ddcb4097134ff3c332f xmlns="6cfc1733-88f5-48e0-9764-36858cbb8ae4">
      <Terms xmlns="http://schemas.microsoft.com/office/infopath/2007/PartnerControls"/>
    </lcf76f155ced4ddcb4097134ff3c332f>
    <test xmlns="6cfc1733-88f5-48e0-9764-36858cbb8ae4" xsi:nil="true"/>
    <_ip_UnifiedCompliancePolicyProperties xmlns="http://schemas.microsoft.com/sharepoint/v3" xsi:nil="true"/>
    <description xmlns="6cfc1733-88f5-48e0-9764-36858cbb8a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2B0D1FFC29F46A6C84B04A9E45DCD" ma:contentTypeVersion="22" ma:contentTypeDescription="Crée un document." ma:contentTypeScope="" ma:versionID="9d86676530458718566c434f3d00fb00">
  <xsd:schema xmlns:xsd="http://www.w3.org/2001/XMLSchema" xmlns:xs="http://www.w3.org/2001/XMLSchema" xmlns:p="http://schemas.microsoft.com/office/2006/metadata/properties" xmlns:ns1="http://schemas.microsoft.com/sharepoint/v3" xmlns:ns2="6cfc1733-88f5-48e0-9764-36858cbb8ae4" xmlns:ns3="aa93555b-d831-4975-9519-1e883dd949cb" targetNamespace="http://schemas.microsoft.com/office/2006/metadata/properties" ma:root="true" ma:fieldsID="48c710b0582ffb978c740d638038b11b" ns1:_="" ns2:_="" ns3:_="">
    <xsd:import namespace="http://schemas.microsoft.com/sharepoint/v3"/>
    <xsd:import namespace="6cfc1733-88f5-48e0-9764-36858cbb8ae4"/>
    <xsd:import namespace="aa93555b-d831-4975-9519-1e883dd94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c1733-88f5-48e0-9764-36858cbb8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5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escription" ma:index="29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3555b-d831-4975-9519-1e883dd94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7b74e4f-2f52-471e-a48e-e016cd39f4e5}" ma:internalName="TaxCatchAll" ma:showField="CatchAllData" ma:web="aa93555b-d831-4975-9519-1e883dd949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B0E3B-34D8-4419-8A30-3BFDCB297D0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a93555b-d831-4975-9519-1e883dd949cb"/>
    <ds:schemaRef ds:uri="6cfc1733-88f5-48e0-9764-36858cbb8ae4"/>
  </ds:schemaRefs>
</ds:datastoreItem>
</file>

<file path=customXml/itemProps2.xml><?xml version="1.0" encoding="utf-8"?>
<ds:datastoreItem xmlns:ds="http://schemas.openxmlformats.org/officeDocument/2006/customXml" ds:itemID="{94F315A0-5888-418F-8FBD-82460C37FA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0B3543-6925-4BFA-B948-78D0BA20A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fc1733-88f5-48e0-9764-36858cbb8ae4"/>
    <ds:schemaRef ds:uri="aa93555b-d831-4975-9519-1e883dd94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CSV to XML</vt:lpstr>
      <vt:lpstr>ARC response 801</vt:lpstr>
      <vt:lpstr>Binnenkomende Arrival  EAD 801</vt:lpstr>
      <vt:lpstr>Cancel IE810</vt:lpstr>
      <vt:lpstr>Error IE704</vt:lpstr>
      <vt:lpstr>IE815</vt:lpstr>
      <vt:lpstr>Error IE917</vt:lpstr>
      <vt:lpstr>SSW return message</vt:lpstr>
      <vt:lpstr>Opmerkingen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 FRANSOO</dc:creator>
  <cp:keywords/>
  <dc:description/>
  <cp:lastModifiedBy>Tom Callant</cp:lastModifiedBy>
  <cp:revision/>
  <dcterms:created xsi:type="dcterms:W3CDTF">2025-12-15T09:25:22Z</dcterms:created>
  <dcterms:modified xsi:type="dcterms:W3CDTF">2026-05-15T17:30:20Z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0x0101005492B0D1FFC29F46A6C84B04A9E45DCD</vt:lpwstr>
  </property>
  <property fmtid="{D5CDD505-2E9C-101B-9397-08002B2CF9AE}" pid="3" name="MediaServiceImageTags">
    <vt:lpwstr/>
  </property>
</Properties>
</file>