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totalworkplace-my.sharepoint.com/personal/leander_fransoo_external_totalenergies_com/Documents/Documents/LOT 1/integratie rolls/"/>
    </mc:Choice>
  </mc:AlternateContent>
  <xr:revisionPtr revIDLastSave="0" documentId="8_{F32FA707-4A17-4BEC-922F-9EBFFDC7A503}" xr6:coauthVersionLast="47" xr6:coauthVersionMax="47" xr10:uidLastSave="{00000000-0000-0000-0000-000000000000}"/>
  <bookViews>
    <workbookView xWindow="-30852" yWindow="-132" windowWidth="30984" windowHeight="16824" firstSheet="7" xr2:uid="{F5622C39-BDEB-4266-9322-5FC9E204C153}"/>
  </bookViews>
  <sheets>
    <sheet name="CSV to XML" sheetId="1" r:id="rId1"/>
    <sheet name="ARC response 801" sheetId="2" r:id="rId2"/>
    <sheet name="Binnenkomende Arrival EAD 801" sheetId="3" r:id="rId3"/>
    <sheet name="Cancel IE810" sheetId="4" r:id="rId4"/>
    <sheet name="Error IE704" sheetId="5" r:id="rId5"/>
    <sheet name="IE815" sheetId="7" r:id="rId6"/>
    <sheet name="Error IE917" sheetId="6" r:id="rId7"/>
    <sheet name="Opmerkingen" sheetId="8" r:id="rId8"/>
  </sheets>
  <definedNames>
    <definedName name="XPathL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5" i="1" l="1"/>
  <c r="A64" i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85" i="1" s="1"/>
  <c r="A87" i="1" s="1"/>
  <c r="A88" i="1" s="1"/>
  <c r="A89" i="1" s="1"/>
  <c r="A90" i="1" s="1"/>
  <c r="A91" i="1" s="1"/>
  <c r="A92" i="1" s="1"/>
  <c r="A93" i="1" s="1"/>
  <c r="A95" i="1" s="1"/>
  <c r="A96" i="1" s="1"/>
  <c r="A97" i="1" s="1"/>
  <c r="A99" i="1" s="1"/>
  <c r="A100" i="1" s="1"/>
  <c r="A102" i="1" s="1"/>
  <c r="A103" i="1" s="1"/>
  <c r="A104" i="1" s="1"/>
  <c r="A105" i="1" s="1"/>
  <c r="A106" i="1" s="1"/>
  <c r="A107" i="1" s="1"/>
  <c r="A108" i="1" s="1"/>
  <c r="A109" i="1" s="1"/>
  <c r="A113" i="1" s="1"/>
  <c r="A118" i="1" s="1"/>
</calcChain>
</file>

<file path=xl/sharedStrings.xml><?xml version="1.0" encoding="utf-8"?>
<sst xmlns="http://schemas.openxmlformats.org/spreadsheetml/2006/main" count="416" uniqueCount="285">
  <si>
    <t>Kolom nr</t>
  </si>
  <si>
    <t>Stream</t>
  </si>
  <si>
    <t>ROLLS Code</t>
  </si>
  <si>
    <t>Opmerkingen</t>
  </si>
  <si>
    <t>status</t>
  </si>
  <si>
    <t>Transform</t>
  </si>
  <si>
    <t>/PldaSswDeclaration/typeDeclaration</t>
  </si>
  <si>
    <t>Vaste Tekst: PD</t>
  </si>
  <si>
    <t>/PldaSswDeclaration/version</t>
  </si>
  <si>
    <t>Vaste Tekst: 1.0</t>
  </si>
  <si>
    <t>/PldaSswDeclaration/dateCreation</t>
  </si>
  <si>
    <t>T000580</t>
  </si>
  <si>
    <t>/PldaSswDeclaration/timeCreation</t>
  </si>
  <si>
    <t>T003941</t>
  </si>
  <si>
    <t>/PldaSswDeclaration/CustomsStreamliner/company</t>
  </si>
  <si>
    <t>Vaste tekst: TE</t>
  </si>
  <si>
    <t>/PldaSswDeclaration/MessageBody/SADDossier/GoodsDeclaration/type</t>
  </si>
  <si>
    <t>Vaste tekst: O</t>
  </si>
  <si>
    <t>/PldaSswDeclaration/MessageBody/SADDossier/GoodsDeclaration/linkId</t>
  </si>
  <si>
    <t>T003422</t>
  </si>
  <si>
    <t>/PldaSswDeclaration/MessageBody/SADDossier/GoodsDeclaration/overview1</t>
  </si>
  <si>
    <t>T004093</t>
  </si>
  <si>
    <t>Type order van ROLLS</t>
  </si>
  <si>
    <t>/PldaSswDeclaration/MessageBody/SADDossier/GoodsDeclaration/Outbound/departedTime</t>
  </si>
  <si>
    <t>/PldaSswDeclaration/MessageBody/SADDossier/GoodsDeclaration/Outbound/departedDate</t>
  </si>
  <si>
    <t>/PldaSswDeclaration/MessageBody/SADDossier/GoodsDeclaration/Outbound/destinationCountry</t>
  </si>
  <si>
    <t>T004478</t>
  </si>
  <si>
    <t>eerste 2 karaketers gebruiken</t>
  </si>
  <si>
    <t>/PldaSswDeclaration/MessageBody/SADDossier/GoodsDeclaration/Outbound/ConsigneeEMCS/Operator/OperatorAddress/country</t>
  </si>
  <si>
    <t>reuse of column 11</t>
  </si>
  <si>
    <t>/PldaSswDeclaration/MessageBody/SADDossier/GoodsDeclaration/Outbound/ConsigneeEMCS/Operator/operatorName</t>
  </si>
  <si>
    <t>T000244</t>
  </si>
  <si>
    <t>/PldaSswDeclaration/MessageBody/SADDossier/GoodsDeclaration/Outbound/ConsigneeEMCS/Operator/OperatorAddress/postalCode</t>
  </si>
  <si>
    <t>T000254</t>
  </si>
  <si>
    <t>/PldaSswDeclaration/MessageBody/SADDossier/GoodsDeclaration/Outbound/ConsigneeEMCS/Operator/OperatorAddress/streetAndNumber1</t>
  </si>
  <si>
    <t>T000247 + ‘ ‘ + T000249</t>
  </si>
  <si>
    <t>/PldaSswDeclaration/MessageBody/SADDossier/GoodsDeclaration/Outbound/ConsigneeEMCS/Operator/OperatorAddress/city</t>
  </si>
  <si>
    <t>T000251</t>
  </si>
  <si>
    <t>/PldaSswDeclaration/MessageBody/SADDossier/GoodsDeclaration/Outbound/ConsigneeEMCS/Operator/exciseNumber</t>
  </si>
  <si>
    <t>/PldaSswDeclaration/MessageBody/SADDossier/GoodsDeclaration/Outbound/ConsigneeEMCS/erpId</t>
  </si>
  <si>
    <t>/PldaSswDeclaration/MessageBody/SADDossier/GoodsDeclaration/dossierDate</t>
  </si>
  <si>
    <t>/PldaSswDeclaration/MessageBody/SADDossier/GoodsDeclaration/expectedDate</t>
  </si>
  <si>
    <t>T000580 + T004611</t>
  </si>
  <si>
    <t>/PldaSswDeclaration/MessageBody/SADDossier/GoodsItem/CustomProcedure/customLicensing</t>
  </si>
  <si>
    <t>Vaste Tekst:TE_NOSTOCK</t>
  </si>
  <si>
    <t>/PldaSswDeclaration/MessageBody/SADDossier/GoodsDeclaration/TransportMeans/transportMode</t>
  </si>
  <si>
    <t>T004623</t>
  </si>
  <si>
    <t>/PldaSswDeclaration/MessageBody/SADDossier/GoodsDeclaration/TransportMeans/borderMode</t>
  </si>
  <si>
    <t>/PldaSswDeclaration/MessageBody/SADDossier/GoodsDeclaration/TransportMeans/typeOfIdentification</t>
  </si>
  <si>
    <t>optional in SAP mapping</t>
  </si>
  <si>
    <t>/PldaSswDeclaration/MessageBody/SADDossier/GoodsDeclaration/TransportMeans/borderIdentity</t>
  </si>
  <si>
    <t>T004614_1+T004614_2+T004614_3</t>
  </si>
  <si>
    <t>/PldaSswDeclaration/MessageBody/SADDossier/GoodsDeclaration/TransportMeans/dispatchCountry</t>
  </si>
  <si>
    <t>Vaste Tekst: BE</t>
  </si>
  <si>
    <t>/PldaSswDeclaration/MessageBody/SADDossier/GoodsDeclaration/TransportMeans/transportType</t>
  </si>
  <si>
    <t>T004615_1</t>
  </si>
  <si>
    <t>/PldaSswDeclaration/MessageBody/SADDossier/GoodsDeclaration/TransportMeans/departureNationality</t>
  </si>
  <si>
    <t>/PldaSswDeclaration/MessageBody/SADDossier/GoodsDeclaration/businessUnit</t>
  </si>
  <si>
    <t>Vaste Tekst: TERA</t>
  </si>
  <si>
    <t>/PldaSswDeclaration/MessageBody/SADDossier/GoodsItem/sequence</t>
  </si>
  <si>
    <t>/PldaSswDeclaration/MessageBody/SADDossier/GoodsItem/Outbound/stockType</t>
  </si>
  <si>
    <t>Vaste Tekst: EXCISE</t>
  </si>
  <si>
    <t>Vaste Tekst: TE_NOSTOCK</t>
  </si>
  <si>
    <t>/PldaSswDeclaration/MessageBody/SADDossier/GoodsItem/Product/code</t>
  </si>
  <si>
    <t>T004660</t>
  </si>
  <si>
    <t>/PldaSswDeclaration/MessageBody/SADDossier/GoodsItem/Product/description</t>
  </si>
  <si>
    <t>T001618</t>
  </si>
  <si>
    <t>/PldaSswDeclaration/MessageBody/SADDossier/GoodsItem/Product/CommodityImport/typeDeclaration</t>
  </si>
  <si>
    <t>Vaste Tekst: PI</t>
  </si>
  <si>
    <t>/PldaSswDeclaration/MessageBody/SADDossier/GoodsItem/Product/CommodityImport/commodityCode</t>
  </si>
  <si>
    <t>T001381</t>
  </si>
  <si>
    <t>/PldaSswDeclaration/MessageBody/SADDossier/GoodsItem/Product/CommodityImport/customsGoodsDescription</t>
  </si>
  <si>
    <t>/PldaSswDeclaration/MessageBody/SADDossier/GoodsItem/Product/stockLevel</t>
  </si>
  <si>
    <t>Vaste Tekst: LTR</t>
  </si>
  <si>
    <t>/PldaSswDeclaration/MessageBody/SADDossier/GoodsItem/Product/declareLevel</t>
  </si>
  <si>
    <t>Vaste Tekst: KGM</t>
  </si>
  <si>
    <t>/PldaSswDeclaration/MessageBody/SADDossier/GoodsItem/Product/exciseProductCode</t>
  </si>
  <si>
    <t>/PldaSswDeclaration/MessageBody/SADDossier/GoodsItem/Product/CommercialDescription/commercialDescriptionLanguage</t>
  </si>
  <si>
    <t>T001619</t>
  </si>
  <si>
    <t>/PldaSswDeclaration/MessageBody/SADDossier/GoodsItem/Product/CommercialDescription/commercialDescription</t>
  </si>
  <si>
    <t>/PldaSswDeclaration/MessageBody/SADDossier/GoodsItem/Product/density</t>
  </si>
  <si>
    <t>T004668</t>
  </si>
  <si>
    <t>/PldaSswDeclaration/MessageBody/SADDossier/GoodsItem/goodsDescription</t>
  </si>
  <si>
    <t>/PldaSswDeclaration/MessageBody/SADDossier/GoodsItem/Product/originCountry</t>
  </si>
  <si>
    <t>/PldaSswDeclaration/MessageBody/SADDossier/GoodsItem/netMass</t>
  </si>
  <si>
    <t>T001634</t>
  </si>
  <si>
    <t>/PldaSswDeclaration/MessageBody/SADDossier/GoodsItem/grossMass</t>
  </si>
  <si>
    <t>T001633</t>
  </si>
  <si>
    <t>/PldaSswDeclaration/MessageBody/SADDossier/GoodsItem/stockAmount</t>
  </si>
  <si>
    <t>T002727</t>
  </si>
  <si>
    <t>/PldaSswDeclaration/MessageBody/SADDossier/GoodsItem/Product/alcoholicStrength</t>
  </si>
  <si>
    <t>/PldaSswDeclaration/MessageBody/SADDossier/GoodsItem/Packaging/marksNumber</t>
  </si>
  <si>
    <t>Vaste Tekst: Deellading 1</t>
  </si>
  <si>
    <t>/PldaSswDeclaration/MessageBody/SADDossier/GoodsItem/Packaging/packageType</t>
  </si>
  <si>
    <t>T001808</t>
  </si>
  <si>
    <t>skip</t>
  </si>
  <si>
    <t>T000003</t>
  </si>
  <si>
    <t>T000004</t>
  </si>
  <si>
    <t>skip (uitgaand is altijd IE815)</t>
  </si>
  <si>
    <t>T000006</t>
  </si>
  <si>
    <t>T000007</t>
  </si>
  <si>
    <t>T000009</t>
  </si>
  <si>
    <t>T000010</t>
  </si>
  <si>
    <t>T000014</t>
  </si>
  <si>
    <t>/PldaSswDeclaration/MessageBody/SADDossier/GoodsDeclaration/DeliveryPlaceTrader/erpId</t>
  </si>
  <si>
    <t>T000044</t>
  </si>
  <si>
    <t>T000083</t>
  </si>
  <si>
    <t>/PldaSswDeclaration/MessageBody/SADDossier/GoodsDeclaration/DeliveryPlaceTrader/Operator/OperatorAddress/country</t>
  </si>
  <si>
    <t>reuse of column 50</t>
  </si>
  <si>
    <t>first_2</t>
  </si>
  <si>
    <t>/PldaSswDeclaration/MessageBody/SADDossier/GoodsDeclaration/Outbound/ConsigneeEMCS/Operator/language</t>
  </si>
  <si>
    <t>T000245</t>
  </si>
  <si>
    <t>/PldaSswDeclaration/MessageBody/SADDossier/GoodsDeclaration/Inbound/Consignor/Operator/operatorName</t>
  </si>
  <si>
    <t>T000287</t>
  </si>
  <si>
    <t>/PldaSswDeclaration/MessageBody/SADDossier/GoodsDeclaration/Inbound/Consignor/Operator/language</t>
  </si>
  <si>
    <t>T000288</t>
  </si>
  <si>
    <t>/PldaSswDeclaration/MessageBody/SADDossier/GoodsDeclaration/Inbound/Consignor/Operator/OperatorAddress/streetAndNumber1</t>
  </si>
  <si>
    <t>T000290+T004508</t>
  </si>
  <si>
    <t>/PldaSswDeclaration/MessageBody/SADDossier/GoodsDeclaration/Inbound/Consignor/Operator/OperatorAddress/city</t>
  </si>
  <si>
    <t>T000292</t>
  </si>
  <si>
    <t>/PldaSswDeclaration/MessageBody/SADDossier/GoodsDeclaration/Inbound/Consignor/Operator/OperatorAddress/postalCode</t>
  </si>
  <si>
    <t>T000295</t>
  </si>
  <si>
    <t>/PldaSswDeclaration/MessageBody/SADDossier/GoodsDeclaration/DeliveryPlaceTrader/Operator/operatorName</t>
  </si>
  <si>
    <t>T000390</t>
  </si>
  <si>
    <t>/PldaSswDeclaration/MessageBody/SADDossier/GoodsDeclaration/DeliveryPlaceTrader/Operator/language</t>
  </si>
  <si>
    <t>T000391</t>
  </si>
  <si>
    <t>/PldaSswDeclaration/MessageBody/SADDossier/GoodsDeclaration/DeliveryPlaceTrader/Operator/OperatorAddress/streetAndNumber1</t>
  </si>
  <si>
    <t>T000393+T004696</t>
  </si>
  <si>
    <t>/PldaSswDeclaration/MessageBody/SADDossier/GoodsDeclaration/DeliveryPlaceTrader/Operator/OperatorAddress/city</t>
  </si>
  <si>
    <t>T000395</t>
  </si>
  <si>
    <t>/PldaSswDeclaration/MessageBody/SADDossier/GoodsDeclaration/DeliveryPlaceTrader/Operator/OperatorAddress/postalCode</t>
  </si>
  <si>
    <t>T000398</t>
  </si>
  <si>
    <t>T000999</t>
  </si>
  <si>
    <t>indien value=="week" of "maand" dan kopiëren naar SADDossier/GoodsDeclaration/additionalScenarioSmartDeclare</t>
  </si>
  <si>
    <t>/PldaSswDeclaration/MessageBody/SADDossier/GoodsItem/linkId</t>
  </si>
  <si>
    <t>T001379</t>
  </si>
  <si>
    <t>T001810</t>
  </si>
  <si>
    <t>T003380</t>
  </si>
  <si>
    <t>T003381</t>
  </si>
  <si>
    <t>T003421</t>
  </si>
  <si>
    <t>T004098</t>
  </si>
  <si>
    <t>T004469</t>
  </si>
  <si>
    <t>skip (zie 000999)</t>
  </si>
  <si>
    <t>T004470</t>
  </si>
  <si>
    <t>/PldaSswDeclaration/MessageBody/SADDossier/GoodsDeclaration/Inbound/Consignor/erpId</t>
  </si>
  <si>
    <t>T004485</t>
  </si>
  <si>
    <t>/PldaSswDeclaration/MessageBody/SADDossier/GoodsDeclaration/Inbound/Consignor/Operator/OperatorAddress/country</t>
  </si>
  <si>
    <t>reuse of column 64</t>
  </si>
  <si>
    <t>/PldaSswDeclaration/MessageBody/SADDossier/GoodsDeclaration/DispatchTrader/erpId</t>
  </si>
  <si>
    <t>T004490</t>
  </si>
  <si>
    <t>/PldaSswDeclaration/MessageBody/SADDossier/GoodsDeclaration/DispatchTrader/Operator/OperatorAddress/country</t>
  </si>
  <si>
    <t>reuse of column 65</t>
  </si>
  <si>
    <t>/PldaSswDeclaration/MessageBody/SADDossier/GoodsDeclaration/DispatchTrader/Operator/operatorName</t>
  </si>
  <si>
    <t>T004493</t>
  </si>
  <si>
    <t>/PldaSswDeclaration/MessageBody/SADDossier/GoodsDeclaration/DispatchTrader/Operator/language</t>
  </si>
  <si>
    <t>T004494</t>
  </si>
  <si>
    <t>/PldaSswDeclaration/MessageBody/SADDossier/GoodsDeclaration/DispatchTrader/Operator/OperatorAddress/streetAndNumber1</t>
  </si>
  <si>
    <t>T004496+T004498</t>
  </si>
  <si>
    <t>/PldaSswDeclaration/MessageBody/SADDossier/GoodsDeclaration/DispatchTrader/Operator/OperatorAddress/city</t>
  </si>
  <si>
    <t>T004500</t>
  </si>
  <si>
    <t>/PldaSswDeclaration/MessageBody/SADDossier/GoodsDeclaration/DispatchTrader/Operator/OperatorAddress/postalCode</t>
  </si>
  <si>
    <t>T004504</t>
  </si>
  <si>
    <t>T004506</t>
  </si>
  <si>
    <t>/PldaSswDeclaration/MessageBody/SADDossier/GoodsDeclaration/FirstTransporterTrader/erpId</t>
  </si>
  <si>
    <t>T004514</t>
  </si>
  <si>
    <t>/PldaSswDeclaration/MessageBody/SADDossier/GoodsDeclaration/FirstTransporterTrader/Operator/OperatorAddress/country</t>
  </si>
  <si>
    <t>reuse of column 72</t>
  </si>
  <si>
    <t>/PldaSswDeclaration/MessageBody/SADDossier/GoodsDeclaration/FirstTransporterTrader/Operator/operatorName</t>
  </si>
  <si>
    <t>T004516</t>
  </si>
  <si>
    <t>/PldaSswDeclaration/MessageBody/SADDossier/GoodsDeclaration/FirstTransporterTrader/Operator/language</t>
  </si>
  <si>
    <t>T004517</t>
  </si>
  <si>
    <t>/PldaSswDeclaration/MessageBody/SADDossier/GoodsDeclaration/FirstTransporterTrader/Operator/OperatorAddress/streetAndNumber1</t>
  </si>
  <si>
    <t>T004519+T004521</t>
  </si>
  <si>
    <t>/PldaSswDeclaration/MessageBody/SADDossier/GoodsDeclaration/FirstTransporterTrader/Operator/OperatorAddress/city</t>
  </si>
  <si>
    <t>T004523</t>
  </si>
  <si>
    <t>/PldaSswDeclaration/MessageBody/SADDossier/GoodsDeclaration/FirstTransporterTrader/Operator/OperatorAddress/postalCode</t>
  </si>
  <si>
    <t>T004527</t>
  </si>
  <si>
    <t>/PldaSswDeclaration/MessageBody/SADDossier/GoodsDeclaration/TransportArrangerTrader/erpId</t>
  </si>
  <si>
    <t>T004552</t>
  </si>
  <si>
    <t>/PldaSswDeclaration/MessageBody/SADDossier/GoodsDeclaration/TransportArrangerTrader/Operator/OperatorAddress/country</t>
  </si>
  <si>
    <t>reuse of column 78</t>
  </si>
  <si>
    <t>/PldaSswDeclaration/MessageBody/SADDossier/GoodsDeclaration/TransportArrangerTrader/Operator/operatorName</t>
  </si>
  <si>
    <t>T004554</t>
  </si>
  <si>
    <t>/PldaSswDeclaration/MessageBody/SADDossier/GoodsDeclaration/TransportArrangerTrader/Operator/language</t>
  </si>
  <si>
    <t>T004555</t>
  </si>
  <si>
    <t>/PldaSswDeclaration/MessageBody/SADDossier/GoodsDeclaration/TransportArrangerTrader/Operator/OperatorAddress/streetAndNumber1</t>
  </si>
  <si>
    <t>T004557+T004559</t>
  </si>
  <si>
    <t>/PldaSswDeclaration/MessageBody/SADDossier/GoodsDeclaration/TransportArrangerTrader/Operator/OperatorAddress/city</t>
  </si>
  <si>
    <t>T004561</t>
  </si>
  <si>
    <t>/PldaSswDeclaration/MessageBody/SADDossier/GoodsDeclaration/TransportArrangerTrader/Operator/OperatorAddress/postalCode</t>
  </si>
  <si>
    <t>T004565</t>
  </si>
  <si>
    <t>/PldaSswDeclaration/MessageBody/SADDossier/GoodsDeclaration/overview2</t>
  </si>
  <si>
    <t>T004605</t>
  </si>
  <si>
    <t>`</t>
  </si>
  <si>
    <t>/PldaSswDeclaration/MessageBody/SADDossier/GoodsDeclaration/Customs/exitOffice</t>
  </si>
  <si>
    <t>T004606</t>
  </si>
  <si>
    <t>/PldaSswDeclaration/MessageBody/SADDossier/GoodsDeclaration/destinationType</t>
  </si>
  <si>
    <t>T004608</t>
  </si>
  <si>
    <t>T004615_2</t>
  </si>
  <si>
    <t>T004615_3</t>
  </si>
  <si>
    <t>/PldaSswDeclaration/MessageBody/SADDossier/GoodsItem/ProducedDocument/Document/documentReference</t>
  </si>
  <si>
    <t>T004618</t>
  </si>
  <si>
    <t>/PldaSswDeclaration/MessageBody/SADDossier/GoodsItem/ProducedDocument/Document/emcsDocumentType</t>
  </si>
  <si>
    <t>T004619</t>
  </si>
  <si>
    <t>/PldaSswDeclaration/MessageBody/SADDossier/GoodsItem/ProducedDocument/Document/documentReferenceLanguage</t>
  </si>
  <si>
    <t>/PldaSswDeclaration/MessageBody/SADDossier/GoodsDeclaration/TransportMeans/transportArrangment</t>
  </si>
  <si>
    <t>T004625</t>
  </si>
  <si>
    <t>T004637</t>
  </si>
  <si>
    <t>/PldaSswDeclaration/MessageBody/SADDossier/GoodsDeclaration/guarantorType</t>
  </si>
  <si>
    <t>T004638</t>
  </si>
  <si>
    <t>T004732</t>
  </si>
  <si>
    <t>Status</t>
  </si>
  <si>
    <t>XML to CSV</t>
  </si>
  <si>
    <t>T00006</t>
  </si>
  <si>
    <t>IE801</t>
  </si>
  <si>
    <t xml:space="preserve">T004093 </t>
  </si>
  <si>
    <t>EmcsSswArc/MessageBody/CustomsStreamliner/linkId</t>
  </si>
  <si>
    <t>Het ordernummer</t>
  </si>
  <si>
    <t>EmcsSswArc/MessageBody/ie:IE801/ie:Body/ie:EADESADContainer/ie:ExciseMovement/ie:AdministrativeReferenceCode</t>
  </si>
  <si>
    <t>ARCNUMMER</t>
  </si>
  <si>
    <t>ARC Nummer</t>
  </si>
  <si>
    <t>EmcsSswArc/MessageBody/ie:IE801/ie:Header/tms:DateOfPreparation</t>
  </si>
  <si>
    <t>VALIDATIONDATE</t>
  </si>
  <si>
    <t>Datum EAD</t>
  </si>
  <si>
    <t>EmcsSswArc/MessageBody/ie:IE801/ie:Header/tms:TimeOfPreparation</t>
  </si>
  <si>
    <t>VALIDATIONTIME</t>
  </si>
  <si>
    <t>Tijdstip</t>
  </si>
  <si>
    <t>EmcsSswArc/MessageBody/ie:IE801/ie:Body/ie:EADESADContainer/ie:EadEsad/ie:LocalReferenceNumber</t>
  </si>
  <si>
    <t>LRN</t>
  </si>
  <si>
    <t>Mss dit</t>
  </si>
  <si>
    <t>Wss dit voor LRN</t>
  </si>
  <si>
    <t>EmcsSswArc/MessageBody/ie:IE801/ie:Body/ie:EADESADContainer/ie:TransportMode/ie:TransportModeCode</t>
  </si>
  <si>
    <t>VVMITYPE</t>
  </si>
  <si>
    <t>EmcsSswArc/MessageBody/ie:IE801/ie:Body/ie:EADESADContainer/ie:TransportDetails/ie:IdentityOfTransportUnits</t>
  </si>
  <si>
    <t>VVMIIDENT</t>
  </si>
  <si>
    <t>EmcsSswArc/MessageBody/ie:IE801/ie:Body/ie:EADESADContainer/ie:ConsigneeTrader/ie:TraderName</t>
  </si>
  <si>
    <t>AFZENDER</t>
  </si>
  <si>
    <t>EmcsSswArc/MessageBody/ie:IE801/ie:Body/ie:EADESADContainer/ie:BodyEadEsad/ie:BrandNameOfProducts OF /ie:IE801/ie:Body/ie:EADESADContainer/ie:BodyEadEsad/ie:CommercialDescription</t>
  </si>
  <si>
    <t>PRODUCT</t>
  </si>
  <si>
    <t>EmcsSswArc/MessageBody/ie:IE801/ie:Body/ie:EADESADContainer/ie:BodyEadEsad/ie:Quantity</t>
  </si>
  <si>
    <t>HOEVEELHEID</t>
  </si>
  <si>
    <t>EmcsSswArc/MessageBody/ie:IE801/ie:Body/ie:EADESADContainer/ie:BodyEadEsad/ie:GrossMass</t>
  </si>
  <si>
    <t>KG</t>
  </si>
  <si>
    <t>EmcsSswArc/MessageBody/ie:IE801/ie:Body/ie:EADESADContainer/ie:BodyEadEsad/ie:ExciseProductCode</t>
  </si>
  <si>
    <t>ACCIJNSGOEDERENCODE</t>
  </si>
  <si>
    <t>EmcsSswArc/MessageBody/ie:IE801/ie:Body/ie:EADESADContainer/ie:ConsignorTrader/ie:TraderExciseNumber</t>
  </si>
  <si>
    <t>ACCIJNSVERGUNNING</t>
  </si>
  <si>
    <t>IE810</t>
  </si>
  <si>
    <t>EmcsSswArc/MessageBody/ie:IE704/ie:Body/ie:GenericRefusalMessage/ie:Attributes/ie:AdministrativeReferenceCode/text()</t>
  </si>
  <si>
    <t>EmcsSswArc/MessageBody/ie:IE704/ie:Body/ie:GenericRefusalMessage/ie:FunctionalError/ie:ErrorReason</t>
  </si>
  <si>
    <t>Reden voor Cancel</t>
  </si>
  <si>
    <t>LRN zit niet in de EMCS XSD</t>
  </si>
  <si>
    <t>IE704</t>
  </si>
  <si>
    <t>linkID dit is dan het ROLLS ordernummer</t>
  </si>
  <si>
    <t>002163</t>
  </si>
  <si>
    <t>(003 -&gt; Porthus) of (004 -&gt; EMCS)</t>
  </si>
  <si>
    <t>EmcsSswArc/MessageBody/ie:IE704/ie:Body/ie:GenericRefusalMessage/ie:Attributes/ie:AdministrativeReferenceCode</t>
  </si>
  <si>
    <t>Error Text</t>
  </si>
  <si>
    <t>error text overnemen</t>
  </si>
  <si>
    <t>EmcsSswArc/MessageBody/ie:IE704/ie:Body/ie:GenericRefusalMessage/ie:FunctionalError/ie:ie:ErrorType</t>
  </si>
  <si>
    <t>Echte errorcode van EMCS</t>
  </si>
  <si>
    <t>is eigenlijk de aangifte zelf zoals in eerste sheet besproken, door SSW gewrapt in een EMCS formaat</t>
  </si>
  <si>
    <t>IE917</t>
  </si>
  <si>
    <t>ARC nummer</t>
  </si>
  <si>
    <t>wss vaste waarde '004'</t>
  </si>
  <si>
    <t>EmcsSswArc/MessageBody/ie:IE704/ie:Body/ie:GenericRefusalMessage/ie:XmlError/ie:ie:ErrorColumnNumber</t>
  </si>
  <si>
    <t>EmcsSswArc/MessageBody/ie:IE704/ie:Body/ie:GenericRefusalMessage/ie:XmlError/ie:ie:ErrorReason</t>
  </si>
  <si>
    <t>EmcsSswArc/MessageBody/ie:IE704/ie:Body/ie:GenericRefusalMessage/ie:XmlError/ie:ie:ErrorLineNumber</t>
  </si>
  <si>
    <t>EmcsSswArc/MessageBody/ie:IE704/ie:Body/ie:GenericRefusalMessage/ie:XmlError/ie:ie:ErrorLocation</t>
  </si>
  <si>
    <t>Intefacing voor foutmeldingen die vanuit stream zelf komen</t>
  </si>
  <si>
    <t>eerst verzending</t>
  </si>
  <si>
    <t>dan foutmeldingen checken in SSW zelf</t>
  </si>
  <si>
    <t>dan proactieve triggering</t>
  </si>
  <si>
    <t>inhoudelijke transformaties gebeuren aan ROLLS kant</t>
  </si>
  <si>
    <t>files (csv, xml, ...) moeten kunnen gefilterd worden op basis van naam</t>
  </si>
  <si>
    <t>uitgaande declaratie</t>
  </si>
  <si>
    <t>ie code</t>
  </si>
  <si>
    <t>...</t>
  </si>
  <si>
    <t>country voor operatoadress blokken afleiden uit 2eerste letters van gemapt veld uit csv</t>
  </si>
  <si>
    <t>004478</t>
  </si>
  <si>
    <t>004485</t>
  </si>
  <si>
    <t>000044</t>
  </si>
  <si>
    <t>004490</t>
  </si>
  <si>
    <t>004514</t>
  </si>
  <si>
    <t>004552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</si>
</sst>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1"/>
      <color theme="1"/>
      <name val="-Apple-System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/>
      <bottom style="thick">
        <color rgb="FF666666"/>
      </bottom>
      <diagonal/>
    </border>
    <border>
      <left/>
      <right style="medium">
        <color rgb="FF999999"/>
      </right>
      <top style="thin">
        <color theme="1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 style="thin">
        <color theme="1"/>
      </top>
      <bottom style="thick">
        <color rgb="FF666666"/>
      </bottom>
      <diagonal/>
    </border>
    <border>
      <left style="thin">
        <color theme="1"/>
      </left>
      <right style="medium">
        <color rgb="FF999999"/>
      </right>
      <top style="thin">
        <color theme="1"/>
      </top>
      <bottom style="thick">
        <color rgb="FF666666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ck">
        <color rgb="FF666666"/>
      </bottom>
      <diagonal/>
    </border>
    <border>
      <left/>
      <right style="thin">
        <color theme="1"/>
      </right>
      <top style="thin">
        <color theme="1"/>
      </top>
      <bottom style="thick">
        <color rgb="FF66666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5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10" xfId="0" applyBorder="1"/>
    <xf numFmtId="0" fontId="12" fillId="0" borderId="0" xfId="0" applyFont="1"/>
    <xf numFmtId="0" fontId="0" fillId="0" borderId="11" xfId="0" applyBorder="1"/>
    <xf numFmtId="0" fontId="11" fillId="2" borderId="9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1" fillId="2" borderId="12" xfId="0" applyFont="1" applyFill="1" applyBorder="1"/>
    <xf numFmtId="0" fontId="2" fillId="3" borderId="0" xfId="0" applyFont="1" applyFill="1"/>
    <xf numFmtId="0" fontId="13" fillId="0" borderId="0" xfId="0" applyFont="1"/>
    <xf numFmtId="0" fontId="13" fillId="0" borderId="0" xfId="0" applyFont="1" applyAlignment="1">
      <alignment vertical="center"/>
    </xf>
    <xf numFmtId="49" fontId="12" fillId="0" borderId="0" xfId="0" applyNumberFormat="1" applyFont="1"/>
    <xf numFmtId="0" fontId="0" fillId="3" borderId="0" xfId="0" applyFill="1"/>
    <xf numFmtId="0" fontId="14" fillId="0" borderId="0" xfId="0" applyFont="1"/>
    <xf numFmtId="0" fontId="0" fillId="4" borderId="0" xfId="0" applyFill="1"/>
    <xf numFmtId="0" fontId="6" fillId="0" borderId="0" xfId="0" applyFont="1" applyAlignment="1">
      <alignment wrapText="1"/>
    </xf>
    <xf numFmtId="0" fontId="9" fillId="3" borderId="0" xfId="0" applyFont="1" applyFill="1"/>
    <xf numFmtId="0" fontId="4" fillId="5" borderId="2" xfId="0" applyFont="1" applyFill="1" applyBorder="1" applyAlignment="1">
      <alignment vertical="center" wrapText="1"/>
    </xf>
    <xf numFmtId="0" fontId="7" fillId="5" borderId="0" xfId="0" applyFont="1" applyFill="1"/>
    <xf numFmtId="0" fontId="2" fillId="5" borderId="0" xfId="0" applyFont="1" applyFill="1"/>
    <xf numFmtId="0" fontId="0" fillId="5" borderId="0" xfId="0" applyFill="1"/>
    <xf numFmtId="49" fontId="0" fillId="0" borderId="0" xfId="0" applyNumberFormat="1"/>
    <xf numFmtId="0" fontId="4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49" fontId="0" fillId="3" borderId="0" xfId="0" applyNumberFormat="1" applyFill="1"/>
    <xf numFmtId="0" fontId="6" fillId="3" borderId="0" xfId="0" applyFont="1" applyFill="1"/>
  </cellXfs>
  <cellStyles count="1">
    <cellStyle name="Normal" xfId="0" builtinId="0"/>
  </cellStyles>
  <dxfs count="2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border outline="0">
        <bottom style="thick">
          <color rgb="FF666666"/>
        </bottom>
      </border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border outline="0">
        <bottom style="thick">
          <color rgb="FF666666"/>
        </bottom>
      </border>
    </dxf>
    <dxf>
      <border outline="0">
        <left style="medium">
          <color rgb="FF999999"/>
        </left>
        <top style="medium">
          <color rgb="FF99999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07908-1428-46E5-B098-6287B5968C59}" name="Tabel1" displayName="Tabel1" ref="A1:F120" totalsRowShown="0" headerRowDxfId="18" headerRowBorderDxfId="16" tableBorderDxfId="17">
  <autoFilter ref="A1:F120" xr:uid="{D1007908-1428-46E5-B098-6287B5968C59}"/>
  <tableColumns count="6">
    <tableColumn id="1" xr3:uid="{AF48FF7C-1D1F-4ACF-8CC6-21402F1FCBFA}" name="Kolom nr" dataDxfId="15"/>
    <tableColumn id="2" xr3:uid="{56F2045E-3A52-41E1-8D01-629A0A10A63E}" name="Stream" dataDxfId="14"/>
    <tableColumn id="3" xr3:uid="{25248A49-0F74-4B1D-A7B2-DD89013C7126}" name="ROLLS Code"/>
    <tableColumn id="4" xr3:uid="{7EBD70C2-1BE3-4920-9F26-7AC8AAF0098B}" name="Opmerkingen"/>
    <tableColumn id="5" xr3:uid="{A82BAD71-3BF5-4993-BBA9-41C2EE7298FA}" name="status"/>
    <tableColumn id="6" xr3:uid="{23B7B542-C044-4D1D-8E67-61DF0587A67A}" name="Transfor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C429FC-ECCA-4FD2-A4F2-2126B8F19A90}" name="Tabel3" displayName="Tabel3" ref="A1:E7" totalsRowShown="0" headerRowBorderDxfId="12">
  <autoFilter ref="A1:E7" xr:uid="{94C429FC-ECCA-4FD2-A4F2-2126B8F19A90}"/>
  <tableColumns count="5">
    <tableColumn id="1" xr3:uid="{28CEDDBA-96A6-4C70-B66E-ADCB3C695AB9}" name="Kolom nr"/>
    <tableColumn id="2" xr3:uid="{14C3F321-B77D-4DF5-B72E-82961D94EF28}" name="Stream"/>
    <tableColumn id="3" xr3:uid="{BE23DF4C-F552-424F-A5B5-47E6D66B43C0}" name="ROLLS Code" dataDxfId="11"/>
    <tableColumn id="4" xr3:uid="{1B226270-FE06-45F8-96CA-0D9A7256A6B6}" name="Opmerkingen"/>
    <tableColumn id="5" xr3:uid="{B5F7CE37-593A-4091-AB85-7EA07ED12E3C}" name="Statu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4C27-6A8A-4E18-83AA-FB7C8AEF036F}">
  <dimension ref="A1:F148"/>
  <sheetViews>
    <sheetView tabSelected="1" topLeftCell="A44" zoomScale="73" zoomScaleNormal="73" workbookViewId="0">
      <selection activeCell="F104" sqref="F104"/>
    </sheetView>
  </sheetViews>
  <sheetFormatPr defaultRowHeight="15.95"/>
  <cols>
    <col min="1" max="1" width="13.140625" customWidth="1"/>
    <col min="2" max="2" width="135.7109375" style="5" customWidth="1"/>
    <col min="3" max="3" width="40.85546875" customWidth="1"/>
    <col min="4" max="4" width="88" bestFit="1" customWidth="1"/>
    <col min="6" max="6" width="103.140625" bestFit="1" customWidth="1"/>
  </cols>
  <sheetData>
    <row r="1" spans="1:6" ht="15.75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</row>
    <row r="2" spans="1:6" ht="15.75">
      <c r="A2" s="9">
        <v>0</v>
      </c>
      <c r="B2" s="6" t="s">
        <v>6</v>
      </c>
      <c r="C2" s="12"/>
      <c r="D2" s="13" t="s">
        <v>7</v>
      </c>
      <c r="F2" s="28"/>
    </row>
    <row r="3" spans="1:6" ht="15.75">
      <c r="A3" s="9">
        <v>1</v>
      </c>
      <c r="B3" s="6" t="s">
        <v>8</v>
      </c>
      <c r="C3" s="12"/>
      <c r="D3" s="13" t="s">
        <v>9</v>
      </c>
    </row>
    <row r="4" spans="1:6" ht="16.5" thickBot="1">
      <c r="A4" s="9">
        <v>2</v>
      </c>
      <c r="B4" s="6" t="s">
        <v>10</v>
      </c>
      <c r="C4" s="2" t="s">
        <v>11</v>
      </c>
    </row>
    <row r="5" spans="1:6" ht="16.5" thickBot="1">
      <c r="A5" s="9">
        <v>3</v>
      </c>
      <c r="B5" s="6" t="s">
        <v>12</v>
      </c>
      <c r="C5" s="2" t="s">
        <v>13</v>
      </c>
    </row>
    <row r="6" spans="1:6" ht="15.75">
      <c r="A6" s="9">
        <v>4</v>
      </c>
      <c r="B6" s="6" t="s">
        <v>14</v>
      </c>
      <c r="C6" s="12"/>
      <c r="D6" s="13" t="s">
        <v>15</v>
      </c>
    </row>
    <row r="7" spans="1:6" ht="15.75">
      <c r="A7" s="9">
        <v>5</v>
      </c>
      <c r="B7" s="6" t="s">
        <v>16</v>
      </c>
      <c r="C7" s="12"/>
      <c r="D7" s="13" t="s">
        <v>17</v>
      </c>
    </row>
    <row r="8" spans="1:6" ht="15.75">
      <c r="A8" s="9">
        <v>6</v>
      </c>
      <c r="B8" s="4" t="s">
        <v>18</v>
      </c>
      <c r="C8" s="2" t="s">
        <v>19</v>
      </c>
    </row>
    <row r="9" spans="1:6" ht="15.75">
      <c r="A9" s="9">
        <v>7</v>
      </c>
      <c r="B9" s="4" t="s">
        <v>20</v>
      </c>
      <c r="C9" s="2" t="s">
        <v>21</v>
      </c>
      <c r="D9" s="14" t="s">
        <v>22</v>
      </c>
    </row>
    <row r="10" spans="1:6" ht="15.75">
      <c r="A10" s="9">
        <v>8</v>
      </c>
      <c r="B10" s="4" t="s">
        <v>23</v>
      </c>
      <c r="C10" s="2" t="s">
        <v>13</v>
      </c>
    </row>
    <row r="11" spans="1:6" ht="15.75">
      <c r="A11" s="9">
        <v>9</v>
      </c>
      <c r="B11" s="4" t="s">
        <v>24</v>
      </c>
      <c r="C11" s="2" t="s">
        <v>11</v>
      </c>
    </row>
    <row r="12" spans="1:6" ht="15.75">
      <c r="A12" s="9">
        <v>10</v>
      </c>
      <c r="B12" s="4" t="s">
        <v>25</v>
      </c>
      <c r="C12" s="2" t="s">
        <v>26</v>
      </c>
      <c r="D12" s="14" t="s">
        <v>27</v>
      </c>
    </row>
    <row r="13" spans="1:6" s="28" customFormat="1" ht="15.75">
      <c r="A13" s="38">
        <v>10</v>
      </c>
      <c r="B13" s="39" t="s">
        <v>28</v>
      </c>
      <c r="C13" s="40" t="s">
        <v>26</v>
      </c>
      <c r="D13" s="24" t="s">
        <v>29</v>
      </c>
    </row>
    <row r="14" spans="1:6" ht="15.75">
      <c r="A14" s="9">
        <v>11</v>
      </c>
      <c r="B14" s="7" t="s">
        <v>30</v>
      </c>
      <c r="C14" s="8" t="s">
        <v>31</v>
      </c>
      <c r="D14" s="14"/>
    </row>
    <row r="15" spans="1:6" ht="15.75">
      <c r="A15" s="9">
        <v>12</v>
      </c>
      <c r="B15" s="7" t="s">
        <v>32</v>
      </c>
      <c r="C15" s="8" t="s">
        <v>33</v>
      </c>
      <c r="D15" s="14"/>
    </row>
    <row r="16" spans="1:6" ht="15.75">
      <c r="A16" s="9">
        <v>13</v>
      </c>
      <c r="B16" s="7" t="s">
        <v>34</v>
      </c>
      <c r="C16" s="8" t="s">
        <v>35</v>
      </c>
      <c r="D16" s="14"/>
    </row>
    <row r="17" spans="1:4" ht="16.5" thickBot="1">
      <c r="A17" s="9">
        <v>14</v>
      </c>
      <c r="B17" s="6" t="s">
        <v>36</v>
      </c>
      <c r="C17" s="2" t="s">
        <v>37</v>
      </c>
      <c r="D17" s="14"/>
    </row>
    <row r="18" spans="1:4" ht="16.5" thickBot="1">
      <c r="A18" s="9">
        <v>15</v>
      </c>
      <c r="B18" s="6" t="s">
        <v>38</v>
      </c>
      <c r="C18" t="s">
        <v>26</v>
      </c>
      <c r="D18" s="14"/>
    </row>
    <row r="19" spans="1:4" ht="16.5" thickBot="1">
      <c r="A19" s="9">
        <v>16</v>
      </c>
      <c r="B19" s="6" t="s">
        <v>39</v>
      </c>
      <c r="C19" t="s">
        <v>26</v>
      </c>
      <c r="D19" s="14"/>
    </row>
    <row r="20" spans="1:4" ht="16.5" thickBot="1">
      <c r="A20" s="9">
        <v>17</v>
      </c>
      <c r="B20" s="6" t="s">
        <v>40</v>
      </c>
      <c r="C20" s="2" t="s">
        <v>11</v>
      </c>
      <c r="D20" s="14"/>
    </row>
    <row r="21" spans="1:4" ht="15.75">
      <c r="A21" s="9">
        <v>18</v>
      </c>
      <c r="B21" s="6" t="s">
        <v>41</v>
      </c>
      <c r="C21" s="2" t="s">
        <v>42</v>
      </c>
      <c r="D21" s="14"/>
    </row>
    <row r="22" spans="1:4" ht="16.5" thickBot="1">
      <c r="A22" s="9">
        <v>19</v>
      </c>
      <c r="B22" s="6" t="s">
        <v>43</v>
      </c>
      <c r="C22" s="6"/>
      <c r="D22" s="32" t="s">
        <v>44</v>
      </c>
    </row>
    <row r="23" spans="1:4" ht="16.5" thickBot="1">
      <c r="A23" s="9">
        <v>20</v>
      </c>
      <c r="B23" s="6" t="s">
        <v>45</v>
      </c>
      <c r="C23" s="16" t="s">
        <v>46</v>
      </c>
      <c r="D23" s="15"/>
    </row>
    <row r="24" spans="1:4" ht="16.5" thickBot="1">
      <c r="A24" s="9">
        <v>21</v>
      </c>
      <c r="B24" s="6" t="s">
        <v>47</v>
      </c>
      <c r="C24" s="16" t="s">
        <v>46</v>
      </c>
    </row>
    <row r="25" spans="1:4" s="36" customFormat="1" ht="15.75">
      <c r="A25" s="33">
        <v>22</v>
      </c>
      <c r="B25" s="34" t="s">
        <v>48</v>
      </c>
      <c r="C25" s="34"/>
      <c r="D25" s="35" t="s">
        <v>49</v>
      </c>
    </row>
    <row r="26" spans="1:4" ht="15.75">
      <c r="A26" s="9">
        <v>23</v>
      </c>
      <c r="B26" s="5" t="s">
        <v>50</v>
      </c>
      <c r="C26" s="6" t="s">
        <v>51</v>
      </c>
    </row>
    <row r="27" spans="1:4" ht="16.5" thickBot="1">
      <c r="A27" s="9">
        <v>24</v>
      </c>
      <c r="B27" s="5" t="s">
        <v>52</v>
      </c>
      <c r="C27" s="6"/>
      <c r="D27" s="14" t="s">
        <v>53</v>
      </c>
    </row>
    <row r="28" spans="1:4" ht="15.75">
      <c r="A28" s="9">
        <v>25</v>
      </c>
      <c r="B28" t="s">
        <v>54</v>
      </c>
      <c r="C28" s="6" t="s">
        <v>55</v>
      </c>
    </row>
    <row r="29" spans="1:4" ht="16.5" thickBot="1">
      <c r="A29" s="9">
        <v>26</v>
      </c>
      <c r="B29" s="5" t="s">
        <v>56</v>
      </c>
      <c r="C29" s="6"/>
      <c r="D29" s="14" t="s">
        <v>53</v>
      </c>
    </row>
    <row r="30" spans="1:4" ht="16.5" thickBot="1">
      <c r="A30" s="9">
        <v>27</v>
      </c>
      <c r="B30" s="5" t="s">
        <v>57</v>
      </c>
      <c r="C30" s="6"/>
      <c r="D30" s="14" t="s">
        <v>58</v>
      </c>
    </row>
    <row r="31" spans="1:4" ht="16.5" thickBot="1">
      <c r="A31" s="9">
        <v>28</v>
      </c>
      <c r="B31" s="5" t="s">
        <v>59</v>
      </c>
      <c r="C31" s="6"/>
      <c r="D31" s="14">
        <v>1</v>
      </c>
    </row>
    <row r="32" spans="1:4" ht="16.5" thickBot="1">
      <c r="A32" s="9">
        <v>29</v>
      </c>
      <c r="B32" s="5" t="s">
        <v>60</v>
      </c>
      <c r="C32" s="6"/>
      <c r="D32" s="14" t="s">
        <v>61</v>
      </c>
    </row>
    <row r="33" spans="1:4" ht="15.75">
      <c r="A33" s="9">
        <v>30</v>
      </c>
      <c r="B33" s="5" t="s">
        <v>43</v>
      </c>
      <c r="C33" s="6"/>
      <c r="D33" s="32" t="s">
        <v>62</v>
      </c>
    </row>
    <row r="34" spans="1:4" ht="15.75">
      <c r="A34" s="9">
        <v>31</v>
      </c>
      <c r="B34" s="5" t="s">
        <v>63</v>
      </c>
      <c r="C34" s="28" t="s">
        <v>64</v>
      </c>
      <c r="D34" s="14"/>
    </row>
    <row r="35" spans="1:4" ht="16.5" thickBot="1">
      <c r="A35" s="9">
        <v>32</v>
      </c>
      <c r="B35" s="5" t="s">
        <v>65</v>
      </c>
      <c r="C35" s="6" t="s">
        <v>66</v>
      </c>
    </row>
    <row r="36" spans="1:4" ht="16.5" thickBot="1">
      <c r="A36" s="9">
        <v>33</v>
      </c>
      <c r="B36" s="5" t="s">
        <v>67</v>
      </c>
      <c r="C36" s="15"/>
      <c r="D36" s="14" t="s">
        <v>68</v>
      </c>
    </row>
    <row r="37" spans="1:4" ht="16.5" thickBot="1">
      <c r="A37" s="9">
        <v>34</v>
      </c>
      <c r="B37" s="5" t="s">
        <v>69</v>
      </c>
      <c r="C37" s="6" t="s">
        <v>70</v>
      </c>
    </row>
    <row r="38" spans="1:4" ht="16.5" thickBot="1">
      <c r="A38" s="9">
        <v>35</v>
      </c>
      <c r="B38" s="5" t="s">
        <v>71</v>
      </c>
      <c r="C38" s="6" t="s">
        <v>66</v>
      </c>
    </row>
    <row r="39" spans="1:4" ht="16.5" thickBot="1">
      <c r="A39" s="9">
        <v>36</v>
      </c>
      <c r="B39" s="5" t="s">
        <v>72</v>
      </c>
      <c r="C39" s="6"/>
      <c r="D39" s="14" t="s">
        <v>73</v>
      </c>
    </row>
    <row r="40" spans="1:4" ht="16.5" thickBot="1">
      <c r="A40" s="9">
        <v>37</v>
      </c>
      <c r="B40" s="5" t="s">
        <v>74</v>
      </c>
      <c r="C40" s="6"/>
      <c r="D40" s="14" t="s">
        <v>75</v>
      </c>
    </row>
    <row r="41" spans="1:4" ht="16.5" thickBot="1">
      <c r="A41" s="9">
        <v>38</v>
      </c>
      <c r="B41" s="5" t="s">
        <v>76</v>
      </c>
      <c r="C41" t="s">
        <v>66</v>
      </c>
    </row>
    <row r="42" spans="1:4" ht="17.100000000000001" customHeight="1" thickBot="1">
      <c r="A42" s="9">
        <v>39</v>
      </c>
      <c r="B42" s="5" t="s">
        <v>77</v>
      </c>
      <c r="C42" s="6" t="s">
        <v>78</v>
      </c>
    </row>
    <row r="43" spans="1:4" ht="16.5" thickBot="1">
      <c r="A43" s="9">
        <v>40</v>
      </c>
      <c r="B43" s="5" t="s">
        <v>79</v>
      </c>
      <c r="C43" s="6" t="s">
        <v>66</v>
      </c>
    </row>
    <row r="44" spans="1:4" ht="16.5" thickBot="1">
      <c r="A44" s="9">
        <v>41</v>
      </c>
      <c r="B44" s="5" t="s">
        <v>80</v>
      </c>
      <c r="C44" s="6" t="s">
        <v>81</v>
      </c>
    </row>
    <row r="45" spans="1:4" ht="15.75">
      <c r="A45" s="9">
        <v>42</v>
      </c>
      <c r="B45" s="5" t="s">
        <v>82</v>
      </c>
      <c r="C45" s="6" t="s">
        <v>66</v>
      </c>
    </row>
    <row r="46" spans="1:4" ht="16.5" thickBot="1">
      <c r="A46" s="9">
        <v>43</v>
      </c>
      <c r="B46" s="5" t="s">
        <v>83</v>
      </c>
      <c r="C46" s="6"/>
      <c r="D46" s="14" t="s">
        <v>53</v>
      </c>
    </row>
    <row r="47" spans="1:4" ht="15.75">
      <c r="A47" s="9">
        <v>44</v>
      </c>
      <c r="B47" s="5" t="s">
        <v>84</v>
      </c>
      <c r="C47" s="6" t="s">
        <v>85</v>
      </c>
    </row>
    <row r="48" spans="1:4" ht="16.5" thickBot="1">
      <c r="A48" s="9">
        <v>45</v>
      </c>
      <c r="B48" s="5" t="s">
        <v>86</v>
      </c>
      <c r="C48" s="6" t="s">
        <v>87</v>
      </c>
    </row>
    <row r="49" spans="1:6" ht="16.5" thickBot="1">
      <c r="A49" s="9">
        <v>46</v>
      </c>
      <c r="B49" s="5" t="s">
        <v>88</v>
      </c>
      <c r="C49" s="6" t="s">
        <v>89</v>
      </c>
      <c r="D49" s="14"/>
    </row>
    <row r="50" spans="1:6" ht="15.75">
      <c r="A50" s="9">
        <v>47</v>
      </c>
      <c r="B50" s="5" t="s">
        <v>90</v>
      </c>
      <c r="C50" s="6"/>
      <c r="D50" s="14" t="s">
        <v>49</v>
      </c>
    </row>
    <row r="51" spans="1:6" ht="16.5" thickBot="1">
      <c r="A51" s="9">
        <v>48</v>
      </c>
      <c r="B51" s="5" t="s">
        <v>91</v>
      </c>
      <c r="C51" s="6"/>
      <c r="D51" s="14" t="s">
        <v>92</v>
      </c>
    </row>
    <row r="52" spans="1:6" ht="15.75">
      <c r="A52" s="9">
        <v>49</v>
      </c>
      <c r="B52" s="5" t="s">
        <v>93</v>
      </c>
      <c r="C52" s="6" t="s">
        <v>94</v>
      </c>
    </row>
    <row r="53" spans="1:6" ht="15.75">
      <c r="A53" s="12"/>
      <c r="B53" t="s">
        <v>95</v>
      </c>
      <c r="C53" s="30" t="s">
        <v>96</v>
      </c>
    </row>
    <row r="54" spans="1:6" ht="15.75">
      <c r="A54" s="12"/>
      <c r="B54" t="s">
        <v>95</v>
      </c>
      <c r="C54" s="30" t="s">
        <v>97</v>
      </c>
    </row>
    <row r="55" spans="1:6" ht="15.75">
      <c r="A55" s="12"/>
      <c r="B55" t="s">
        <v>98</v>
      </c>
      <c r="C55" s="30" t="s">
        <v>99</v>
      </c>
    </row>
    <row r="56" spans="1:6" ht="15.75">
      <c r="A56" s="12"/>
      <c r="B56" t="s">
        <v>95</v>
      </c>
      <c r="C56" s="30" t="s">
        <v>100</v>
      </c>
    </row>
    <row r="57" spans="1:6" ht="15.75">
      <c r="A57" s="12"/>
      <c r="B57" t="s">
        <v>95</v>
      </c>
      <c r="C57" s="30" t="s">
        <v>101</v>
      </c>
    </row>
    <row r="58" spans="1:6" ht="15.75">
      <c r="A58" s="12"/>
      <c r="B58" t="s">
        <v>95</v>
      </c>
      <c r="C58" s="30" t="s">
        <v>102</v>
      </c>
    </row>
    <row r="59" spans="1:6" ht="15.75">
      <c r="A59" s="12"/>
      <c r="B59" t="s">
        <v>95</v>
      </c>
      <c r="C59" s="30" t="s">
        <v>103</v>
      </c>
    </row>
    <row r="60" spans="1:6" ht="15.75">
      <c r="A60" s="12">
        <v>50</v>
      </c>
      <c r="B60" t="s">
        <v>104</v>
      </c>
      <c r="C60" s="30" t="s">
        <v>105</v>
      </c>
    </row>
    <row r="61" spans="1:6" ht="15.75">
      <c r="A61" s="12"/>
      <c r="B61" t="s">
        <v>95</v>
      </c>
      <c r="C61" s="30" t="s">
        <v>106</v>
      </c>
    </row>
    <row r="62" spans="1:6" s="28" customFormat="1" ht="15.75">
      <c r="A62" s="38">
        <v>50</v>
      </c>
      <c r="B62" s="42" t="s">
        <v>107</v>
      </c>
      <c r="C62" s="28" t="s">
        <v>106</v>
      </c>
      <c r="D62" s="28" t="s">
        <v>108</v>
      </c>
      <c r="F62" s="28" t="s">
        <v>109</v>
      </c>
    </row>
    <row r="63" spans="1:6" ht="15.75">
      <c r="A63" s="12">
        <v>51</v>
      </c>
      <c r="B63" t="s">
        <v>110</v>
      </c>
      <c r="C63" s="30" t="s">
        <v>111</v>
      </c>
      <c r="F63" t="s">
        <v>95</v>
      </c>
    </row>
    <row r="64" spans="1:6" ht="15.75">
      <c r="A64" s="12">
        <f t="shared" ref="A64:A118" si="0">A63+1</f>
        <v>52</v>
      </c>
      <c r="B64" s="30" t="s">
        <v>112</v>
      </c>
      <c r="C64" s="30" t="s">
        <v>113</v>
      </c>
      <c r="D64" s="30"/>
    </row>
    <row r="65" spans="1:6" ht="15.75">
      <c r="A65" s="12">
        <f t="shared" si="0"/>
        <v>53</v>
      </c>
      <c r="B65" s="30" t="s">
        <v>114</v>
      </c>
      <c r="C65" s="30" t="s">
        <v>115</v>
      </c>
      <c r="D65" s="30"/>
      <c r="F65" t="s">
        <v>95</v>
      </c>
    </row>
    <row r="66" spans="1:6" ht="15.75">
      <c r="A66" s="12">
        <f t="shared" si="0"/>
        <v>54</v>
      </c>
      <c r="B66" s="30" t="s">
        <v>116</v>
      </c>
      <c r="C66" s="30" t="s">
        <v>117</v>
      </c>
      <c r="D66" s="30"/>
    </row>
    <row r="67" spans="1:6" ht="15.75">
      <c r="A67" s="12">
        <f t="shared" si="0"/>
        <v>55</v>
      </c>
      <c r="B67" s="30" t="s">
        <v>118</v>
      </c>
      <c r="C67" s="30" t="s">
        <v>119</v>
      </c>
      <c r="D67" s="30"/>
    </row>
    <row r="68" spans="1:6" ht="15.75">
      <c r="A68" s="12">
        <f t="shared" si="0"/>
        <v>56</v>
      </c>
      <c r="B68" s="30" t="s">
        <v>120</v>
      </c>
      <c r="C68" s="30" t="s">
        <v>121</v>
      </c>
      <c r="D68" s="30"/>
    </row>
    <row r="69" spans="1:6" ht="15.75">
      <c r="A69" s="12">
        <f>A68+1</f>
        <v>57</v>
      </c>
      <c r="B69" s="30" t="s">
        <v>122</v>
      </c>
      <c r="C69" s="30" t="s">
        <v>123</v>
      </c>
      <c r="D69" s="30"/>
    </row>
    <row r="70" spans="1:6" ht="15.75">
      <c r="A70" s="12">
        <f t="shared" si="0"/>
        <v>58</v>
      </c>
      <c r="B70" s="30" t="s">
        <v>124</v>
      </c>
      <c r="C70" s="30" t="s">
        <v>125</v>
      </c>
      <c r="D70" s="30"/>
      <c r="F70" t="s">
        <v>95</v>
      </c>
    </row>
    <row r="71" spans="1:6" ht="15.75">
      <c r="A71" s="12">
        <f t="shared" si="0"/>
        <v>59</v>
      </c>
      <c r="B71" s="30" t="s">
        <v>126</v>
      </c>
      <c r="C71" s="30" t="s">
        <v>127</v>
      </c>
      <c r="D71" s="30"/>
    </row>
    <row r="72" spans="1:6" ht="15.75">
      <c r="A72" s="12">
        <f t="shared" si="0"/>
        <v>60</v>
      </c>
      <c r="B72" s="30" t="s">
        <v>128</v>
      </c>
      <c r="C72" s="30" t="s">
        <v>129</v>
      </c>
      <c r="D72" s="30"/>
    </row>
    <row r="73" spans="1:6" ht="15.75">
      <c r="A73" s="12">
        <f t="shared" si="0"/>
        <v>61</v>
      </c>
      <c r="B73" s="30" t="s">
        <v>130</v>
      </c>
      <c r="C73" s="30" t="s">
        <v>131</v>
      </c>
      <c r="D73" s="30"/>
    </row>
    <row r="74" spans="1:6" ht="15.75">
      <c r="A74" s="12">
        <f t="shared" si="0"/>
        <v>62</v>
      </c>
      <c r="B74" s="29" t="s">
        <v>20</v>
      </c>
      <c r="C74" s="30" t="s">
        <v>132</v>
      </c>
      <c r="D74" s="29"/>
      <c r="F74" t="s">
        <v>133</v>
      </c>
    </row>
    <row r="75" spans="1:6" ht="15.75">
      <c r="A75" s="12">
        <f t="shared" si="0"/>
        <v>63</v>
      </c>
      <c r="B75" t="s">
        <v>134</v>
      </c>
      <c r="C75" s="30" t="s">
        <v>135</v>
      </c>
      <c r="D75" s="5"/>
    </row>
    <row r="76" spans="1:6" ht="15.75">
      <c r="A76" s="12"/>
      <c r="B76" t="s">
        <v>95</v>
      </c>
      <c r="C76" s="30" t="s">
        <v>136</v>
      </c>
    </row>
    <row r="77" spans="1:6" ht="15.75">
      <c r="A77" s="12"/>
      <c r="B77" t="s">
        <v>95</v>
      </c>
      <c r="C77" s="30" t="s">
        <v>137</v>
      </c>
    </row>
    <row r="78" spans="1:6" ht="15.75">
      <c r="A78" s="12"/>
      <c r="B78" t="s">
        <v>95</v>
      </c>
      <c r="C78" s="30" t="s">
        <v>138</v>
      </c>
    </row>
    <row r="79" spans="1:6" ht="15.75">
      <c r="A79" s="12"/>
      <c r="B79" t="s">
        <v>95</v>
      </c>
      <c r="C79" s="30" t="s">
        <v>139</v>
      </c>
    </row>
    <row r="80" spans="1:6" ht="15.75">
      <c r="A80" s="12"/>
      <c r="B80" t="s">
        <v>95</v>
      </c>
      <c r="C80" s="30" t="s">
        <v>140</v>
      </c>
    </row>
    <row r="81" spans="1:6" ht="15.75">
      <c r="A81" s="12"/>
      <c r="B81" t="s">
        <v>95</v>
      </c>
      <c r="C81" s="30" t="s">
        <v>141</v>
      </c>
    </row>
    <row r="82" spans="1:6" ht="15.75">
      <c r="A82" s="12"/>
      <c r="B82" t="s">
        <v>142</v>
      </c>
      <c r="C82" s="30" t="s">
        <v>143</v>
      </c>
    </row>
    <row r="83" spans="1:6" ht="15.75">
      <c r="A83" s="12">
        <v>64</v>
      </c>
      <c r="B83" t="s">
        <v>144</v>
      </c>
      <c r="C83" s="30" t="s">
        <v>145</v>
      </c>
    </row>
    <row r="84" spans="1:6" s="28" customFormat="1" ht="15.75">
      <c r="A84" s="38">
        <v>64</v>
      </c>
      <c r="B84" s="28" t="s">
        <v>146</v>
      </c>
      <c r="C84" s="28" t="s">
        <v>145</v>
      </c>
      <c r="D84" s="28" t="s">
        <v>147</v>
      </c>
      <c r="F84" s="28" t="s">
        <v>109</v>
      </c>
    </row>
    <row r="85" spans="1:6" ht="15.75">
      <c r="A85" s="12">
        <f>A83+1</f>
        <v>65</v>
      </c>
      <c r="B85" t="s">
        <v>148</v>
      </c>
      <c r="C85" s="30" t="s">
        <v>149</v>
      </c>
    </row>
    <row r="86" spans="1:6" s="28" customFormat="1" ht="15.75">
      <c r="A86" s="38">
        <v>65</v>
      </c>
      <c r="B86" s="42" t="s">
        <v>150</v>
      </c>
      <c r="C86" s="28" t="s">
        <v>149</v>
      </c>
      <c r="D86" s="28" t="s">
        <v>151</v>
      </c>
      <c r="F86" s="28" t="s">
        <v>109</v>
      </c>
    </row>
    <row r="87" spans="1:6" ht="15.75">
      <c r="A87" s="12">
        <f>A85+1</f>
        <v>66</v>
      </c>
      <c r="B87" s="30" t="s">
        <v>152</v>
      </c>
      <c r="C87" s="30" t="s">
        <v>153</v>
      </c>
      <c r="D87" s="30"/>
    </row>
    <row r="88" spans="1:6" ht="15.75">
      <c r="A88" s="12">
        <f t="shared" si="0"/>
        <v>67</v>
      </c>
      <c r="B88" s="30" t="s">
        <v>154</v>
      </c>
      <c r="C88" s="30" t="s">
        <v>155</v>
      </c>
      <c r="D88" s="30"/>
      <c r="F88" t="s">
        <v>95</v>
      </c>
    </row>
    <row r="89" spans="1:6" ht="15.75">
      <c r="A89" s="12">
        <f t="shared" si="0"/>
        <v>68</v>
      </c>
      <c r="B89" s="30" t="s">
        <v>156</v>
      </c>
      <c r="C89" s="30" t="s">
        <v>157</v>
      </c>
      <c r="D89" s="30"/>
    </row>
    <row r="90" spans="1:6" ht="15.75">
      <c r="A90" s="12">
        <f t="shared" si="0"/>
        <v>69</v>
      </c>
      <c r="B90" s="30" t="s">
        <v>158</v>
      </c>
      <c r="C90" s="30" t="s">
        <v>159</v>
      </c>
      <c r="D90" s="30"/>
    </row>
    <row r="91" spans="1:6" ht="15.75">
      <c r="A91" s="12">
        <f t="shared" si="0"/>
        <v>70</v>
      </c>
      <c r="B91" s="30" t="s">
        <v>160</v>
      </c>
      <c r="C91" s="30" t="s">
        <v>161</v>
      </c>
      <c r="D91" s="30"/>
    </row>
    <row r="92" spans="1:6" ht="15.75">
      <c r="A92" s="12">
        <f t="shared" si="0"/>
        <v>71</v>
      </c>
      <c r="B92" s="30" t="s">
        <v>104</v>
      </c>
      <c r="C92" s="30" t="s">
        <v>162</v>
      </c>
      <c r="D92" s="30"/>
    </row>
    <row r="93" spans="1:6" ht="15.75">
      <c r="A93" s="12">
        <f t="shared" si="0"/>
        <v>72</v>
      </c>
      <c r="B93" t="s">
        <v>163</v>
      </c>
      <c r="C93" s="30" t="s">
        <v>164</v>
      </c>
    </row>
    <row r="94" spans="1:6" s="28" customFormat="1" ht="15.75">
      <c r="A94" s="38">
        <v>72</v>
      </c>
      <c r="B94" s="42" t="s">
        <v>165</v>
      </c>
      <c r="C94" s="28" t="s">
        <v>164</v>
      </c>
      <c r="D94" s="28" t="s">
        <v>166</v>
      </c>
      <c r="F94" s="28" t="s">
        <v>109</v>
      </c>
    </row>
    <row r="95" spans="1:6" ht="15.75">
      <c r="A95" s="12">
        <f>A93+1</f>
        <v>73</v>
      </c>
      <c r="B95" s="30" t="s">
        <v>167</v>
      </c>
      <c r="C95" s="30" t="s">
        <v>168</v>
      </c>
      <c r="D95" s="30"/>
    </row>
    <row r="96" spans="1:6" ht="15.75">
      <c r="A96" s="12">
        <f t="shared" si="0"/>
        <v>74</v>
      </c>
      <c r="B96" s="30" t="s">
        <v>169</v>
      </c>
      <c r="C96" s="30" t="s">
        <v>170</v>
      </c>
      <c r="D96" s="30"/>
      <c r="F96" t="s">
        <v>95</v>
      </c>
    </row>
    <row r="97" spans="1:6" ht="15.75">
      <c r="A97" s="12">
        <f t="shared" si="0"/>
        <v>75</v>
      </c>
      <c r="B97" s="30" t="s">
        <v>171</v>
      </c>
      <c r="C97" s="30" t="s">
        <v>172</v>
      </c>
      <c r="D97" s="30"/>
    </row>
    <row r="98" spans="1:6" ht="15.75">
      <c r="A98" s="12">
        <v>76</v>
      </c>
      <c r="B98" s="30" t="s">
        <v>173</v>
      </c>
      <c r="C98" s="30" t="s">
        <v>174</v>
      </c>
      <c r="D98" s="30"/>
    </row>
    <row r="99" spans="1:6" ht="15.75">
      <c r="A99" s="12">
        <f t="shared" si="0"/>
        <v>77</v>
      </c>
      <c r="B99" s="30" t="s">
        <v>175</v>
      </c>
      <c r="C99" s="30" t="s">
        <v>176</v>
      </c>
      <c r="D99" s="30"/>
    </row>
    <row r="100" spans="1:6" ht="15.75">
      <c r="A100" s="12">
        <f t="shared" si="0"/>
        <v>78</v>
      </c>
      <c r="B100" t="s">
        <v>177</v>
      </c>
      <c r="C100" s="30" t="s">
        <v>178</v>
      </c>
    </row>
    <row r="101" spans="1:6" s="28" customFormat="1" ht="15.75">
      <c r="A101" s="38">
        <v>78</v>
      </c>
      <c r="B101" s="42" t="s">
        <v>179</v>
      </c>
      <c r="C101" s="28" t="s">
        <v>178</v>
      </c>
      <c r="D101" s="28" t="s">
        <v>180</v>
      </c>
      <c r="F101" s="28" t="s">
        <v>109</v>
      </c>
    </row>
    <row r="102" spans="1:6" ht="15.75">
      <c r="A102" s="12">
        <f>A100+1</f>
        <v>79</v>
      </c>
      <c r="B102" s="30" t="s">
        <v>181</v>
      </c>
      <c r="C102" s="30" t="s">
        <v>182</v>
      </c>
      <c r="D102" s="30"/>
    </row>
    <row r="103" spans="1:6" ht="15.75">
      <c r="A103" s="12">
        <f t="shared" si="0"/>
        <v>80</v>
      </c>
      <c r="B103" s="30" t="s">
        <v>183</v>
      </c>
      <c r="C103" s="30" t="s">
        <v>184</v>
      </c>
      <c r="D103" s="30"/>
      <c r="F103" t="s">
        <v>95</v>
      </c>
    </row>
    <row r="104" spans="1:6" ht="15.75">
      <c r="A104" s="12">
        <f t="shared" si="0"/>
        <v>81</v>
      </c>
      <c r="B104" s="30" t="s">
        <v>185</v>
      </c>
      <c r="C104" s="30" t="s">
        <v>186</v>
      </c>
      <c r="D104" s="30"/>
    </row>
    <row r="105" spans="1:6" ht="15.75">
      <c r="A105" s="12">
        <f t="shared" si="0"/>
        <v>82</v>
      </c>
      <c r="B105" s="30" t="s">
        <v>187</v>
      </c>
      <c r="C105" s="30" t="s">
        <v>188</v>
      </c>
      <c r="D105" s="30"/>
    </row>
    <row r="106" spans="1:6" ht="15.75">
      <c r="A106" s="12">
        <f t="shared" si="0"/>
        <v>83</v>
      </c>
      <c r="B106" s="30" t="s">
        <v>189</v>
      </c>
      <c r="C106" s="30" t="s">
        <v>190</v>
      </c>
      <c r="D106" s="30"/>
    </row>
    <row r="107" spans="1:6" ht="15.75">
      <c r="A107" s="12">
        <f t="shared" si="0"/>
        <v>84</v>
      </c>
      <c r="B107" t="s">
        <v>191</v>
      </c>
      <c r="C107" s="30" t="s">
        <v>192</v>
      </c>
      <c r="D107" t="s">
        <v>193</v>
      </c>
    </row>
    <row r="108" spans="1:6" ht="15.75">
      <c r="A108" s="12">
        <f t="shared" si="0"/>
        <v>85</v>
      </c>
      <c r="B108" t="s">
        <v>194</v>
      </c>
      <c r="C108" s="30" t="s">
        <v>195</v>
      </c>
    </row>
    <row r="109" spans="1:6" ht="15.75">
      <c r="A109" s="12">
        <f t="shared" si="0"/>
        <v>86</v>
      </c>
      <c r="B109" t="s">
        <v>196</v>
      </c>
      <c r="C109" s="30" t="s">
        <v>197</v>
      </c>
    </row>
    <row r="110" spans="1:6" ht="15.75">
      <c r="A110" s="12"/>
      <c r="B110" t="s">
        <v>95</v>
      </c>
      <c r="C110" s="30" t="s">
        <v>198</v>
      </c>
    </row>
    <row r="111" spans="1:6" ht="15.75">
      <c r="A111" s="12"/>
      <c r="B111" t="s">
        <v>95</v>
      </c>
      <c r="C111" s="30" t="s">
        <v>199</v>
      </c>
    </row>
    <row r="112" spans="1:6" ht="15.75">
      <c r="A112" s="12">
        <v>87</v>
      </c>
      <c r="B112" t="s">
        <v>200</v>
      </c>
      <c r="C112" s="30" t="s">
        <v>201</v>
      </c>
    </row>
    <row r="113" spans="1:3" ht="15.75">
      <c r="A113" s="12">
        <f t="shared" si="0"/>
        <v>88</v>
      </c>
      <c r="B113" t="s">
        <v>202</v>
      </c>
      <c r="C113" s="30" t="s">
        <v>203</v>
      </c>
    </row>
    <row r="114" spans="1:3" ht="15.75">
      <c r="A114" s="9">
        <v>89</v>
      </c>
      <c r="B114" s="29" t="s">
        <v>204</v>
      </c>
      <c r="C114" s="30" t="s">
        <v>203</v>
      </c>
    </row>
    <row r="115" spans="1:3" ht="15.75">
      <c r="A115" s="12">
        <f t="shared" si="0"/>
        <v>90</v>
      </c>
      <c r="B115" s="29" t="s">
        <v>205</v>
      </c>
      <c r="C115" s="30" t="s">
        <v>206</v>
      </c>
    </row>
    <row r="116" spans="1:3" ht="15.75">
      <c r="A116" s="12"/>
      <c r="B116" s="29" t="s">
        <v>95</v>
      </c>
      <c r="C116" s="30" t="s">
        <v>207</v>
      </c>
    </row>
    <row r="117" spans="1:3" ht="15.75">
      <c r="A117" s="12">
        <v>91</v>
      </c>
      <c r="B117" s="29" t="s">
        <v>208</v>
      </c>
      <c r="C117" s="30" t="s">
        <v>209</v>
      </c>
    </row>
    <row r="118" spans="1:3" ht="15.75">
      <c r="A118" s="12">
        <f t="shared" si="0"/>
        <v>92</v>
      </c>
      <c r="B118" t="s">
        <v>76</v>
      </c>
      <c r="C118" s="30" t="s">
        <v>64</v>
      </c>
    </row>
    <row r="119" spans="1:3" ht="15.75">
      <c r="A119" s="9">
        <v>93</v>
      </c>
      <c r="B119" s="31" t="s">
        <v>63</v>
      </c>
      <c r="C119" s="30" t="s">
        <v>64</v>
      </c>
    </row>
    <row r="120" spans="1:3" ht="15.75">
      <c r="A120" s="9"/>
      <c r="B120" t="s">
        <v>95</v>
      </c>
      <c r="C120" s="30" t="s">
        <v>210</v>
      </c>
    </row>
    <row r="121" spans="1:3" ht="15.75">
      <c r="A121" s="1"/>
    </row>
    <row r="122" spans="1:3" ht="16.5" thickBot="1">
      <c r="A122" s="1"/>
    </row>
    <row r="123" spans="1:3" ht="16.5" thickBot="1">
      <c r="A123" s="1"/>
    </row>
    <row r="124" spans="1:3" ht="16.5" thickBot="1">
      <c r="A124" s="1"/>
    </row>
    <row r="125" spans="1:3" ht="16.5" thickBot="1">
      <c r="A125" s="1"/>
    </row>
    <row r="126" spans="1:3" ht="16.5" thickBot="1">
      <c r="A126" s="1"/>
    </row>
    <row r="127" spans="1:3" ht="16.5" thickBot="1">
      <c r="A127" s="1"/>
    </row>
    <row r="128" spans="1:3" ht="16.5" thickBot="1">
      <c r="A128" s="1"/>
    </row>
    <row r="129" spans="1:1" ht="16.5" thickBot="1">
      <c r="A129" s="1"/>
    </row>
    <row r="130" spans="1:1" ht="16.5" thickBot="1">
      <c r="A130" s="1"/>
    </row>
    <row r="131" spans="1:1" ht="16.5" thickBot="1">
      <c r="A131" s="1"/>
    </row>
    <row r="132" spans="1:1" ht="16.5" thickBot="1">
      <c r="A132" s="1"/>
    </row>
    <row r="133" spans="1:1" ht="15.75"/>
    <row r="134" spans="1:1" ht="15.75"/>
    <row r="135" spans="1:1" ht="15.75"/>
    <row r="136" spans="1:1" ht="15.75"/>
    <row r="137" spans="1:1" ht="15.75"/>
    <row r="138" spans="1:1" ht="15.75"/>
    <row r="139" spans="1:1" ht="15.75"/>
    <row r="140" spans="1:1" ht="15.75"/>
    <row r="141" spans="1:1" ht="15.75"/>
    <row r="142" spans="1:1" ht="15.75"/>
    <row r="143" spans="1:1" ht="15.75"/>
    <row r="144" spans="1:1" ht="15.75"/>
    <row r="145" ht="15.75"/>
    <row r="146" ht="15.75"/>
    <row r="148" ht="15.75"/>
  </sheetData>
  <phoneticPr fontId="8" type="noConversion"/>
  <conditionalFormatting sqref="E2:E53 E56:E59 E82:E84 E87:E120 E61:E74 E76:E80">
    <cfRule type="expression" dxfId="25" priority="1">
      <formula>AND($B2&lt;&gt;"",OR($C2&lt;&gt;"",$D2&lt;&gt;""))</formula>
    </cfRule>
  </conditionalFormatting>
  <conditionalFormatting sqref="E54">
    <cfRule type="expression" dxfId="24" priority="5">
      <formula>AND($B54&lt;&gt;"",OR($C54&lt;&gt;"",$D55&lt;&gt;""))</formula>
    </cfRule>
  </conditionalFormatting>
  <conditionalFormatting sqref="E55">
    <cfRule type="expression" dxfId="23" priority="6">
      <formula>AND($B55&lt;&gt;"",OR($C55&lt;&gt;"",#REF!&lt;&gt;""))</formula>
    </cfRule>
  </conditionalFormatting>
  <conditionalFormatting sqref="E60">
    <cfRule type="expression" dxfId="22" priority="8">
      <formula>AND($D60&lt;&gt;"",OR($C60&lt;&gt;"",#REF!&lt;&gt;""))</formula>
    </cfRule>
  </conditionalFormatting>
  <conditionalFormatting sqref="E85:E86">
    <cfRule type="expression" dxfId="21" priority="10">
      <formula>AND($B85&lt;&gt;"",OR($C85&lt;&gt;"",$D81&lt;&gt;""))</formula>
    </cfRule>
  </conditionalFormatting>
  <conditionalFormatting sqref="E81">
    <cfRule type="expression" dxfId="20" priority="11">
      <formula>AND($B81&lt;&gt;"",OR($C81&lt;&gt;"",#REF!&lt;&gt;""))</formula>
    </cfRule>
  </conditionalFormatting>
  <conditionalFormatting sqref="E75">
    <cfRule type="expression" dxfId="19" priority="13">
      <formula>AND(#REF!&lt;&gt;"",OR($C75&lt;&gt;"",$D75&lt;&gt;""))</formula>
    </cfRule>
  </conditionalFormatting>
  <dataValidations count="1">
    <dataValidation type="list" allowBlank="1" showInputMessage="1" showErrorMessage="1" sqref="D75" xr:uid="{7139A785-83F1-4465-8349-9788272C85AB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B162-3EB4-48F5-9A5C-3C2EF5590E1C}">
  <dimension ref="A1:F7"/>
  <sheetViews>
    <sheetView workbookViewId="0">
      <selection activeCell="D3" sqref="D3"/>
    </sheetView>
  </sheetViews>
  <sheetFormatPr defaultRowHeight="14.45"/>
  <cols>
    <col min="1" max="1" width="11.5703125" customWidth="1"/>
    <col min="2" max="2" width="128.140625" customWidth="1"/>
    <col min="3" max="3" width="18.7109375" customWidth="1"/>
    <col min="4" max="4" width="67.42578125" bestFit="1" customWidth="1"/>
    <col min="6" max="6" width="12.140625" customWidth="1"/>
  </cols>
  <sheetData>
    <row r="1" spans="1:6" ht="15.75">
      <c r="A1" s="10" t="s">
        <v>0</v>
      </c>
      <c r="B1" s="10" t="s">
        <v>1</v>
      </c>
      <c r="C1" s="10" t="s">
        <v>2</v>
      </c>
      <c r="D1" s="11" t="s">
        <v>3</v>
      </c>
      <c r="E1" s="19" t="s">
        <v>211</v>
      </c>
      <c r="F1" s="24" t="s">
        <v>212</v>
      </c>
    </row>
    <row r="2" spans="1:6" ht="15.75">
      <c r="A2" s="13">
        <v>0</v>
      </c>
      <c r="B2" s="12"/>
      <c r="C2" s="2" t="s">
        <v>213</v>
      </c>
      <c r="D2" s="13" t="s">
        <v>214</v>
      </c>
      <c r="F2" s="24"/>
    </row>
    <row r="3" spans="1:6" ht="15.75">
      <c r="A3">
        <v>1</v>
      </c>
      <c r="B3" s="4"/>
      <c r="C3" s="3" t="s">
        <v>215</v>
      </c>
      <c r="D3" s="14"/>
    </row>
    <row r="4" spans="1:6" ht="16.5" thickBot="1">
      <c r="A4">
        <v>2</v>
      </c>
      <c r="B4" t="s">
        <v>216</v>
      </c>
      <c r="C4" s="2" t="s">
        <v>19</v>
      </c>
      <c r="D4" t="s">
        <v>217</v>
      </c>
    </row>
    <row r="5" spans="1:6">
      <c r="A5">
        <v>3</v>
      </c>
      <c r="B5" s="25" t="s">
        <v>218</v>
      </c>
      <c r="C5" s="18" t="s">
        <v>219</v>
      </c>
      <c r="D5" t="s">
        <v>220</v>
      </c>
    </row>
    <row r="6" spans="1:6">
      <c r="A6">
        <v>4</v>
      </c>
      <c r="B6" t="s">
        <v>221</v>
      </c>
      <c r="C6" s="18" t="s">
        <v>222</v>
      </c>
      <c r="D6" t="s">
        <v>223</v>
      </c>
    </row>
    <row r="7" spans="1:6" ht="15.95">
      <c r="A7">
        <v>5</v>
      </c>
      <c r="B7" t="s">
        <v>224</v>
      </c>
      <c r="C7" s="3" t="s">
        <v>225</v>
      </c>
      <c r="D7" t="s">
        <v>226</v>
      </c>
    </row>
  </sheetData>
  <conditionalFormatting sqref="E2:E7">
    <cfRule type="expression" dxfId="13" priority="1">
      <formula>AND($B2&lt;&gt;"",OR($C2&lt;&gt;"",$D2&lt;&gt;""))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7F6F-35C7-4896-8651-06A204F27861}">
  <dimension ref="A1:F22"/>
  <sheetViews>
    <sheetView workbookViewId="0">
      <selection activeCell="D3" sqref="D3"/>
    </sheetView>
  </sheetViews>
  <sheetFormatPr defaultRowHeight="14.45"/>
  <cols>
    <col min="2" max="2" width="176.140625" bestFit="1" customWidth="1"/>
    <col min="3" max="3" width="33" customWidth="1"/>
    <col min="4" max="4" width="36.5703125" customWidth="1"/>
    <col min="6" max="6" width="17.28515625" customWidth="1"/>
  </cols>
  <sheetData>
    <row r="1" spans="1:6" ht="30.75">
      <c r="A1" s="20" t="s">
        <v>0</v>
      </c>
      <c r="B1" s="21" t="s">
        <v>1</v>
      </c>
      <c r="C1" s="21" t="s">
        <v>2</v>
      </c>
      <c r="D1" s="22" t="s">
        <v>3</v>
      </c>
      <c r="E1" s="23" t="s">
        <v>211</v>
      </c>
      <c r="F1" s="24" t="s">
        <v>212</v>
      </c>
    </row>
    <row r="2" spans="1:6" ht="15.75">
      <c r="A2" s="13">
        <v>0</v>
      </c>
      <c r="B2" s="12"/>
      <c r="C2" s="2" t="s">
        <v>213</v>
      </c>
      <c r="D2" s="13" t="s">
        <v>214</v>
      </c>
      <c r="F2" s="24"/>
    </row>
    <row r="3" spans="1:6" ht="15.75">
      <c r="A3">
        <v>1</v>
      </c>
      <c r="B3" s="4"/>
      <c r="C3" s="3" t="s">
        <v>215</v>
      </c>
    </row>
    <row r="4" spans="1:6" ht="15.75">
      <c r="A4">
        <v>2</v>
      </c>
      <c r="B4" t="s">
        <v>216</v>
      </c>
      <c r="C4" s="2" t="s">
        <v>19</v>
      </c>
      <c r="D4" t="s">
        <v>217</v>
      </c>
    </row>
    <row r="5" spans="1:6" ht="15">
      <c r="A5">
        <v>3</v>
      </c>
      <c r="B5" s="25" t="s">
        <v>218</v>
      </c>
      <c r="C5" s="18" t="s">
        <v>219</v>
      </c>
      <c r="D5" t="s">
        <v>220</v>
      </c>
    </row>
    <row r="6" spans="1:6" ht="15">
      <c r="A6">
        <v>4</v>
      </c>
      <c r="B6" t="s">
        <v>221</v>
      </c>
      <c r="C6" s="18" t="s">
        <v>222</v>
      </c>
      <c r="D6" t="s">
        <v>223</v>
      </c>
    </row>
    <row r="7" spans="1:6" ht="15.75">
      <c r="A7">
        <v>5</v>
      </c>
      <c r="B7" t="s">
        <v>224</v>
      </c>
      <c r="C7" s="3" t="s">
        <v>225</v>
      </c>
      <c r="D7" t="s">
        <v>226</v>
      </c>
    </row>
    <row r="8" spans="1:6">
      <c r="A8">
        <v>1</v>
      </c>
      <c r="B8" s="26" t="s">
        <v>227</v>
      </c>
      <c r="C8" s="18" t="s">
        <v>228</v>
      </c>
      <c r="D8" t="s">
        <v>229</v>
      </c>
    </row>
    <row r="9" spans="1:6">
      <c r="A9">
        <v>2</v>
      </c>
      <c r="B9" s="17" t="s">
        <v>216</v>
      </c>
      <c r="C9" s="18" t="s">
        <v>228</v>
      </c>
      <c r="D9" t="s">
        <v>230</v>
      </c>
    </row>
    <row r="10" spans="1:6">
      <c r="A10">
        <v>3</v>
      </c>
      <c r="B10" s="26" t="s">
        <v>231</v>
      </c>
      <c r="C10" s="18" t="s">
        <v>232</v>
      </c>
    </row>
    <row r="11" spans="1:6">
      <c r="A11">
        <v>4</v>
      </c>
      <c r="B11" s="26" t="s">
        <v>233</v>
      </c>
      <c r="C11" s="18" t="s">
        <v>234</v>
      </c>
    </row>
    <row r="12" spans="1:6">
      <c r="A12">
        <v>5</v>
      </c>
      <c r="B12" s="26" t="s">
        <v>235</v>
      </c>
      <c r="C12" s="18" t="s">
        <v>236</v>
      </c>
    </row>
    <row r="13" spans="1:6">
      <c r="A13">
        <v>6</v>
      </c>
      <c r="B13" s="26" t="s">
        <v>237</v>
      </c>
      <c r="C13" s="18" t="s">
        <v>238</v>
      </c>
    </row>
    <row r="14" spans="1:6">
      <c r="A14">
        <v>7</v>
      </c>
      <c r="B14" s="26" t="s">
        <v>239</v>
      </c>
      <c r="C14" s="18" t="s">
        <v>240</v>
      </c>
    </row>
    <row r="15" spans="1:6">
      <c r="A15">
        <v>8</v>
      </c>
      <c r="B15" s="26" t="s">
        <v>241</v>
      </c>
      <c r="C15" s="18" t="s">
        <v>242</v>
      </c>
    </row>
    <row r="16" spans="1:6">
      <c r="A16">
        <v>9</v>
      </c>
      <c r="B16" s="26" t="s">
        <v>243</v>
      </c>
      <c r="C16" s="18" t="s">
        <v>244</v>
      </c>
    </row>
    <row r="17" spans="1:3">
      <c r="A17">
        <v>10</v>
      </c>
      <c r="B17" s="26" t="s">
        <v>245</v>
      </c>
      <c r="C17" s="18" t="s">
        <v>246</v>
      </c>
    </row>
    <row r="18" spans="1:3">
      <c r="C18" s="18"/>
    </row>
    <row r="21" spans="1:3" ht="15"/>
    <row r="22" spans="1:3" ht="15"/>
  </sheetData>
  <conditionalFormatting sqref="E8:E18">
    <cfRule type="expression" dxfId="10" priority="3">
      <formula>AND($B8&lt;&gt;"",OR($C8&lt;&gt;"",$D8&lt;&gt;""))</formula>
    </cfRule>
  </conditionalFormatting>
  <conditionalFormatting sqref="E2:E7">
    <cfRule type="expression" dxfId="9" priority="2">
      <formula>AND($B2&lt;&gt;"",OR($C2&lt;&gt;"",$D2&lt;&gt;""))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EBA7-470D-48A5-B7E9-423A23621CD3}">
  <dimension ref="A1:F7"/>
  <sheetViews>
    <sheetView workbookViewId="0">
      <selection activeCell="A3" sqref="A3"/>
    </sheetView>
  </sheetViews>
  <sheetFormatPr defaultRowHeight="14.45"/>
  <cols>
    <col min="2" max="2" width="103.85546875" customWidth="1"/>
    <col min="3" max="3" width="51.5703125" customWidth="1"/>
    <col min="4" max="4" width="76" bestFit="1" customWidth="1"/>
    <col min="5" max="5" width="21.42578125" customWidth="1"/>
    <col min="6" max="6" width="18.5703125" customWidth="1"/>
  </cols>
  <sheetData>
    <row r="1" spans="1:6" ht="30.75">
      <c r="A1" s="20" t="s">
        <v>0</v>
      </c>
      <c r="B1" s="21" t="s">
        <v>1</v>
      </c>
      <c r="C1" s="21" t="s">
        <v>2</v>
      </c>
      <c r="D1" s="22" t="s">
        <v>3</v>
      </c>
      <c r="E1" s="23" t="s">
        <v>211</v>
      </c>
      <c r="F1" s="24" t="s">
        <v>212</v>
      </c>
    </row>
    <row r="2" spans="1:6" ht="15.75">
      <c r="A2" s="13">
        <v>0</v>
      </c>
      <c r="B2" s="12"/>
      <c r="C2" s="2" t="s">
        <v>213</v>
      </c>
      <c r="D2" s="13" t="s">
        <v>247</v>
      </c>
      <c r="F2" s="24"/>
    </row>
    <row r="3" spans="1:6" ht="15.75">
      <c r="A3">
        <v>1</v>
      </c>
      <c r="B3" s="4"/>
      <c r="C3" s="3" t="s">
        <v>215</v>
      </c>
      <c r="D3" s="14"/>
    </row>
    <row r="4" spans="1:6">
      <c r="A4">
        <v>1</v>
      </c>
      <c r="B4" s="26" t="s">
        <v>248</v>
      </c>
      <c r="C4" s="18" t="s">
        <v>219</v>
      </c>
    </row>
    <row r="5" spans="1:6">
      <c r="A5">
        <v>2</v>
      </c>
      <c r="B5" s="26" t="s">
        <v>249</v>
      </c>
      <c r="C5" s="18"/>
      <c r="D5" t="s">
        <v>250</v>
      </c>
    </row>
    <row r="6" spans="1:6">
      <c r="A6">
        <v>3</v>
      </c>
      <c r="B6" s="17" t="s">
        <v>216</v>
      </c>
      <c r="C6" s="18" t="s">
        <v>228</v>
      </c>
      <c r="D6" t="s">
        <v>251</v>
      </c>
    </row>
    <row r="7" spans="1:6" ht="15"/>
  </sheetData>
  <conditionalFormatting sqref="E4:E6">
    <cfRule type="expression" dxfId="8" priority="3">
      <formula>AND($B4&lt;&gt;"",OR($C4&lt;&gt;"",$D4&lt;&gt;""))</formula>
    </cfRule>
  </conditionalFormatting>
  <conditionalFormatting sqref="E2">
    <cfRule type="expression" dxfId="7" priority="2">
      <formula>AND($B2&lt;&gt;"",OR($C2&lt;&gt;"",$D2&lt;&gt;""))</formula>
    </cfRule>
  </conditionalFormatting>
  <conditionalFormatting sqref="E3">
    <cfRule type="expression" dxfId="6" priority="1">
      <formula>AND($B3&lt;&gt;"",OR($C3&lt;&gt;"",$D3&lt;&gt;""))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6927-CC9C-451D-802A-84E8EE652137}">
  <dimension ref="A1:F9"/>
  <sheetViews>
    <sheetView workbookViewId="0">
      <selection activeCell="D7" sqref="D7"/>
    </sheetView>
  </sheetViews>
  <sheetFormatPr defaultRowHeight="14.45"/>
  <cols>
    <col min="2" max="2" width="88.140625" bestFit="1" customWidth="1"/>
    <col min="3" max="3" width="26.42578125" customWidth="1"/>
    <col min="4" max="4" width="33.42578125" bestFit="1" customWidth="1"/>
    <col min="6" max="6" width="10.140625" bestFit="1" customWidth="1"/>
  </cols>
  <sheetData>
    <row r="1" spans="1:6" ht="30.75">
      <c r="A1" s="20" t="s">
        <v>0</v>
      </c>
      <c r="B1" s="21" t="s">
        <v>1</v>
      </c>
      <c r="C1" s="21" t="s">
        <v>2</v>
      </c>
      <c r="D1" s="22" t="s">
        <v>3</v>
      </c>
      <c r="E1" s="23" t="s">
        <v>211</v>
      </c>
      <c r="F1" s="24" t="s">
        <v>212</v>
      </c>
    </row>
    <row r="2" spans="1:6" ht="15.75">
      <c r="A2" s="13">
        <v>0</v>
      </c>
      <c r="B2" s="12"/>
      <c r="C2" s="2" t="s">
        <v>213</v>
      </c>
      <c r="D2" s="13" t="s">
        <v>252</v>
      </c>
      <c r="F2" s="24"/>
    </row>
    <row r="3" spans="1:6" ht="15.75">
      <c r="A3">
        <v>1</v>
      </c>
      <c r="B3" s="4"/>
      <c r="C3" s="3" t="s">
        <v>215</v>
      </c>
      <c r="D3" s="14"/>
    </row>
    <row r="4" spans="1:6" ht="15">
      <c r="A4">
        <v>1</v>
      </c>
      <c r="B4" s="17" t="s">
        <v>216</v>
      </c>
      <c r="C4" t="s">
        <v>228</v>
      </c>
      <c r="D4" t="s">
        <v>253</v>
      </c>
    </row>
    <row r="5" spans="1:6" ht="15">
      <c r="A5">
        <v>2</v>
      </c>
      <c r="B5" t="s">
        <v>249</v>
      </c>
      <c r="C5" s="27" t="s">
        <v>254</v>
      </c>
      <c r="D5" t="s">
        <v>255</v>
      </c>
    </row>
    <row r="6" spans="1:6" ht="15">
      <c r="A6">
        <v>4</v>
      </c>
      <c r="B6" t="s">
        <v>256</v>
      </c>
      <c r="C6" t="s">
        <v>257</v>
      </c>
      <c r="D6" t="s">
        <v>258</v>
      </c>
    </row>
    <row r="7" spans="1:6">
      <c r="A7">
        <v>5</v>
      </c>
      <c r="B7" t="s">
        <v>259</v>
      </c>
      <c r="D7" t="s">
        <v>260</v>
      </c>
    </row>
    <row r="8" spans="1:6" ht="15"/>
    <row r="9" spans="1:6" ht="15"/>
  </sheetData>
  <conditionalFormatting sqref="E4:E7">
    <cfRule type="expression" dxfId="5" priority="3">
      <formula>AND($B4&lt;&gt;"",OR($C4&lt;&gt;"",$D4&lt;&gt;""))</formula>
    </cfRule>
  </conditionalFormatting>
  <conditionalFormatting sqref="E2">
    <cfRule type="expression" dxfId="4" priority="2">
      <formula>AND($B2&lt;&gt;"",OR($C2&lt;&gt;"",$D2&lt;&gt;""))</formula>
    </cfRule>
  </conditionalFormatting>
  <conditionalFormatting sqref="E3">
    <cfRule type="expression" dxfId="3" priority="1">
      <formula>AND($B3&lt;&gt;"",OR($C3&lt;&gt;"",$D3&lt;&gt;""))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77E0-F1AB-4666-9FA9-D1E469D1B50E}">
  <dimension ref="A1"/>
  <sheetViews>
    <sheetView workbookViewId="0">
      <selection activeCell="A2" sqref="A2"/>
    </sheetView>
  </sheetViews>
  <sheetFormatPr defaultRowHeight="15"/>
  <sheetData>
    <row r="1" spans="1:1">
      <c r="A1" t="s">
        <v>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BBF5-79B7-4D18-987F-7B5C524BB360}">
  <dimension ref="A1:F12"/>
  <sheetViews>
    <sheetView workbookViewId="0">
      <selection activeCell="A3" sqref="A3"/>
    </sheetView>
  </sheetViews>
  <sheetFormatPr defaultRowHeight="14.45"/>
  <cols>
    <col min="2" max="2" width="98.140625" bestFit="1" customWidth="1"/>
    <col min="3" max="3" width="22.140625" customWidth="1"/>
    <col min="4" max="4" width="33.42578125" bestFit="1" customWidth="1"/>
    <col min="6" max="6" width="10.140625" bestFit="1" customWidth="1"/>
  </cols>
  <sheetData>
    <row r="1" spans="1:6" ht="30.75">
      <c r="A1" s="20" t="s">
        <v>0</v>
      </c>
      <c r="B1" s="21" t="s">
        <v>1</v>
      </c>
      <c r="C1" s="21" t="s">
        <v>2</v>
      </c>
      <c r="D1" s="22" t="s">
        <v>3</v>
      </c>
      <c r="E1" s="23" t="s">
        <v>211</v>
      </c>
      <c r="F1" s="24" t="s">
        <v>212</v>
      </c>
    </row>
    <row r="2" spans="1:6" ht="15.75">
      <c r="A2" s="13">
        <v>0</v>
      </c>
      <c r="B2" s="12"/>
      <c r="C2" s="2" t="s">
        <v>213</v>
      </c>
      <c r="D2" s="13" t="s">
        <v>262</v>
      </c>
      <c r="F2" s="24"/>
    </row>
    <row r="3" spans="1:6" ht="15.75">
      <c r="A3">
        <v>1</v>
      </c>
      <c r="B3" s="4"/>
      <c r="C3" s="3" t="s">
        <v>215</v>
      </c>
      <c r="D3" s="14"/>
    </row>
    <row r="4" spans="1:6" ht="15">
      <c r="A4">
        <v>1</v>
      </c>
      <c r="B4" s="17" t="s">
        <v>216</v>
      </c>
      <c r="C4" t="s">
        <v>228</v>
      </c>
      <c r="D4" t="s">
        <v>253</v>
      </c>
    </row>
    <row r="5" spans="1:6">
      <c r="A5">
        <v>2</v>
      </c>
      <c r="B5" t="s">
        <v>249</v>
      </c>
      <c r="D5" t="s">
        <v>263</v>
      </c>
    </row>
    <row r="6" spans="1:6">
      <c r="A6">
        <v>3</v>
      </c>
      <c r="C6">
        <v>2163</v>
      </c>
      <c r="D6" s="14" t="s">
        <v>264</v>
      </c>
    </row>
    <row r="7" spans="1:6">
      <c r="A7">
        <v>4</v>
      </c>
      <c r="B7" t="s">
        <v>256</v>
      </c>
      <c r="C7" t="s">
        <v>257</v>
      </c>
    </row>
    <row r="8" spans="1:6">
      <c r="A8">
        <v>5</v>
      </c>
      <c r="B8" t="s">
        <v>265</v>
      </c>
      <c r="C8" t="s">
        <v>257</v>
      </c>
      <c r="D8" t="s">
        <v>260</v>
      </c>
    </row>
    <row r="9" spans="1:6">
      <c r="B9" t="s">
        <v>266</v>
      </c>
      <c r="C9" t="s">
        <v>257</v>
      </c>
      <c r="D9" t="s">
        <v>260</v>
      </c>
    </row>
    <row r="10" spans="1:6">
      <c r="B10" t="s">
        <v>267</v>
      </c>
      <c r="C10" t="s">
        <v>257</v>
      </c>
      <c r="D10" t="s">
        <v>260</v>
      </c>
    </row>
    <row r="11" spans="1:6">
      <c r="B11" t="s">
        <v>268</v>
      </c>
      <c r="C11" t="s">
        <v>257</v>
      </c>
      <c r="D11" t="s">
        <v>260</v>
      </c>
    </row>
    <row r="12" spans="1:6" ht="15"/>
  </sheetData>
  <conditionalFormatting sqref="E4:E11">
    <cfRule type="expression" dxfId="2" priority="3">
      <formula>AND($B4&lt;&gt;"",OR($C4&lt;&gt;"",$D4&lt;&gt;""))</formula>
    </cfRule>
  </conditionalFormatting>
  <conditionalFormatting sqref="E2">
    <cfRule type="expression" dxfId="1" priority="2">
      <formula>AND($B2&lt;&gt;"",OR($C2&lt;&gt;"",$D2&lt;&gt;""))</formula>
    </cfRule>
  </conditionalFormatting>
  <conditionalFormatting sqref="E3">
    <cfRule type="expression" dxfId="0" priority="1">
      <formula>AND($B3&lt;&gt;"",OR($C3&lt;&gt;"",$D3&lt;&gt;""))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DE1E-C760-445B-9695-764BC6E6D260}">
  <dimension ref="A1:C16"/>
  <sheetViews>
    <sheetView workbookViewId="0">
      <selection activeCell="B16" sqref="B16"/>
    </sheetView>
  </sheetViews>
  <sheetFormatPr defaultRowHeight="15"/>
  <cols>
    <col min="2" max="2" width="135.140625" customWidth="1"/>
    <col min="3" max="3" width="9.140625" style="37"/>
  </cols>
  <sheetData>
    <row r="1" spans="1:3">
      <c r="A1" t="s">
        <v>269</v>
      </c>
    </row>
    <row r="2" spans="1:3">
      <c r="B2" t="s">
        <v>270</v>
      </c>
    </row>
    <row r="3" spans="1:3">
      <c r="B3" t="s">
        <v>271</v>
      </c>
    </row>
    <row r="4" spans="1:3">
      <c r="B4" t="s">
        <v>272</v>
      </c>
    </row>
    <row r="5" spans="1:3">
      <c r="A5" t="s">
        <v>273</v>
      </c>
    </row>
    <row r="6" spans="1:3">
      <c r="A6" t="s">
        <v>274</v>
      </c>
    </row>
    <row r="7" spans="1:3">
      <c r="B7" t="s">
        <v>275</v>
      </c>
    </row>
    <row r="8" spans="1:3">
      <c r="B8" t="s">
        <v>276</v>
      </c>
    </row>
    <row r="9" spans="1:3">
      <c r="B9" t="s">
        <v>277</v>
      </c>
    </row>
    <row r="10" spans="1:3">
      <c r="A10" t="s">
        <v>278</v>
      </c>
    </row>
    <row r="11" spans="1:3">
      <c r="B11" s="28" t="s">
        <v>28</v>
      </c>
      <c r="C11" s="41" t="s">
        <v>279</v>
      </c>
    </row>
    <row r="12" spans="1:3">
      <c r="B12" s="28" t="s">
        <v>146</v>
      </c>
      <c r="C12" s="41" t="s">
        <v>280</v>
      </c>
    </row>
    <row r="13" spans="1:3">
      <c r="B13" s="28" t="s">
        <v>107</v>
      </c>
      <c r="C13" s="41" t="s">
        <v>281</v>
      </c>
    </row>
    <row r="14" spans="1:3">
      <c r="B14" s="28" t="s">
        <v>150</v>
      </c>
      <c r="C14" s="41" t="s">
        <v>282</v>
      </c>
    </row>
    <row r="15" spans="1:3">
      <c r="B15" s="28" t="s">
        <v>165</v>
      </c>
      <c r="C15" s="41" t="s">
        <v>283</v>
      </c>
    </row>
    <row r="16" spans="1:3">
      <c r="B16" t="s">
        <v>179</v>
      </c>
      <c r="C16" s="37" t="s">
        <v>284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92B0D1FFC29F46A6C84B04A9E45DCD" ma:contentTypeVersion="22" ma:contentTypeDescription="Crée un document." ma:contentTypeScope="" ma:versionID="9d86676530458718566c434f3d00fb00">
  <xsd:schema xmlns:xsd="http://www.w3.org/2001/XMLSchema" xmlns:xs="http://www.w3.org/2001/XMLSchema" xmlns:p="http://schemas.microsoft.com/office/2006/metadata/properties" xmlns:ns1="http://schemas.microsoft.com/sharepoint/v3" xmlns:ns2="6cfc1733-88f5-48e0-9764-36858cbb8ae4" xmlns:ns3="aa93555b-d831-4975-9519-1e883dd949cb" targetNamespace="http://schemas.microsoft.com/office/2006/metadata/properties" ma:root="true" ma:fieldsID="48c710b0582ffb978c740d638038b11b" ns1:_="" ns2:_="" ns3:_="">
    <xsd:import namespace="http://schemas.microsoft.com/sharepoint/v3"/>
    <xsd:import namespace="6cfc1733-88f5-48e0-9764-36858cbb8ae4"/>
    <xsd:import namespace="aa93555b-d831-4975-9519-1e883dd949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test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c1733-88f5-48e0-9764-36858cbb8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25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escription" ma:index="29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3555b-d831-4975-9519-1e883dd949c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7b74e4f-2f52-471e-a48e-e016cd39f4e5}" ma:internalName="TaxCatchAll" ma:showField="CatchAllData" ma:web="aa93555b-d831-4975-9519-1e883dd949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a93555b-d831-4975-9519-1e883dd949cb" xsi:nil="true"/>
    <lcf76f155ced4ddcb4097134ff3c332f xmlns="6cfc1733-88f5-48e0-9764-36858cbb8ae4">
      <Terms xmlns="http://schemas.microsoft.com/office/infopath/2007/PartnerControls"/>
    </lcf76f155ced4ddcb4097134ff3c332f>
    <test xmlns="6cfc1733-88f5-48e0-9764-36858cbb8ae4" xsi:nil="true"/>
    <_ip_UnifiedCompliancePolicyProperties xmlns="http://schemas.microsoft.com/sharepoint/v3" xsi:nil="true"/>
    <description xmlns="6cfc1733-88f5-48e0-9764-36858cbb8ae4" xsi:nil="true"/>
  </documentManagement>
</p:properties>
</file>

<file path=customXml/itemProps1.xml><?xml version="1.0" encoding="utf-8"?>
<ds:datastoreItem xmlns:ds="http://schemas.openxmlformats.org/officeDocument/2006/customXml" ds:itemID="{94F315A0-5888-418F-8FBD-82460C37FA32}"/>
</file>

<file path=customXml/itemProps2.xml><?xml version="1.0" encoding="utf-8"?>
<ds:datastoreItem xmlns:ds="http://schemas.openxmlformats.org/officeDocument/2006/customXml" ds:itemID="{7A0B3543-6925-4BFA-B948-78D0BA20AD89}"/>
</file>

<file path=customXml/itemProps3.xml><?xml version="1.0" encoding="utf-8"?>
<ds:datastoreItem xmlns:ds="http://schemas.openxmlformats.org/officeDocument/2006/customXml" ds:itemID="{9B1B0E3B-34D8-4419-8A30-3BFDCB297D04}"/>
</file>

<file path=docMetadata/LabelInfo.xml><?xml version="1.0" encoding="utf-8"?>
<clbl:labelList xmlns:clbl="http://schemas.microsoft.com/office/2020/mipLabelMetadata">
  <clbl:label id="{329e91b0-e21f-48fb-a071-456717ecc28e}" enabled="0" method="" siteId="{329e91b0-e21f-48fb-a071-456717ecc2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Leander FRANSOO</dc:creator>
  <cp:keywords/>
  <dc:description/>
  <cp:lastModifiedBy/>
  <cp:revision/>
  <dcterms:created xsi:type="dcterms:W3CDTF">2025-12-15T09:25:22Z</dcterms:created>
  <dcterms:modified xsi:type="dcterms:W3CDTF">2026-03-09T15:40:43Z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0x0101005492B0D1FFC29F46A6C84B04A9E45DCD</vt:lpwstr>
  </property>
  <property fmtid="{D5CDD505-2E9C-101B-9397-08002B2CF9AE}" pid="3" name="MediaServiceImageTags">
    <vt:lpwstr/>
  </property>
</Properties>
</file>